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aikwan/Downloads/"/>
    </mc:Choice>
  </mc:AlternateContent>
  <xr:revisionPtr revIDLastSave="0" documentId="13_ncr:1_{BE8890B6-0DEB-6145-90E7-0D15C80B814F}" xr6:coauthVersionLast="47" xr6:coauthVersionMax="47" xr10:uidLastSave="{00000000-0000-0000-0000-000000000000}"/>
  <bookViews>
    <workbookView xWindow="0" yWindow="880" windowWidth="34200" windowHeight="20120" xr2:uid="{00000000-000D-0000-FFFF-FFFF00000000}"/>
  </bookViews>
  <sheets>
    <sheet name="DF" sheetId="1" r:id="rId1"/>
    <sheet name="HC" sheetId="2" r:id="rId2"/>
    <sheet name="Per" sheetId="3" r:id="rId3"/>
    <sheet name="Hum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" i="1" l="1"/>
  <c r="E101" i="1"/>
  <c r="G101" i="1" s="1"/>
  <c r="F100" i="1"/>
  <c r="E100" i="1"/>
  <c r="G100" i="1" s="1"/>
  <c r="G99" i="1"/>
  <c r="F99" i="1"/>
  <c r="E99" i="1"/>
  <c r="F98" i="1"/>
  <c r="E98" i="1"/>
  <c r="G98" i="1" s="1"/>
  <c r="F97" i="1"/>
  <c r="E97" i="1"/>
  <c r="G97" i="1" s="1"/>
  <c r="F96" i="1"/>
  <c r="G96" i="1" s="1"/>
  <c r="E96" i="1"/>
  <c r="G95" i="1"/>
  <c r="F95" i="1"/>
  <c r="E95" i="1"/>
  <c r="F94" i="1"/>
  <c r="E94" i="1"/>
  <c r="G94" i="1" s="1"/>
  <c r="F93" i="1"/>
  <c r="E93" i="1"/>
  <c r="G93" i="1" s="1"/>
  <c r="G92" i="1"/>
  <c r="F92" i="1"/>
  <c r="E92" i="1"/>
  <c r="F91" i="1"/>
  <c r="E91" i="1"/>
  <c r="G91" i="1" s="1"/>
  <c r="F90" i="1"/>
  <c r="E90" i="1"/>
  <c r="G90" i="1" s="1"/>
  <c r="G89" i="1"/>
  <c r="F89" i="1"/>
  <c r="E89" i="1"/>
  <c r="F88" i="1"/>
  <c r="E88" i="1"/>
  <c r="G88" i="1" s="1"/>
  <c r="F87" i="1"/>
  <c r="E87" i="1"/>
  <c r="G87" i="1" s="1"/>
  <c r="F86" i="1"/>
  <c r="G86" i="1" s="1"/>
  <c r="E86" i="1"/>
  <c r="G85" i="1"/>
  <c r="F85" i="1"/>
  <c r="E85" i="1"/>
  <c r="F84" i="1"/>
  <c r="E84" i="1"/>
  <c r="G84" i="1" s="1"/>
  <c r="F83" i="1"/>
  <c r="E83" i="1"/>
  <c r="G83" i="1" s="1"/>
  <c r="G82" i="1"/>
  <c r="F82" i="1"/>
  <c r="E82" i="1"/>
  <c r="F81" i="1"/>
  <c r="E81" i="1"/>
  <c r="G81" i="1" s="1"/>
  <c r="F80" i="1"/>
  <c r="E80" i="1"/>
  <c r="G80" i="1" s="1"/>
  <c r="G79" i="1"/>
  <c r="F79" i="1"/>
  <c r="E79" i="1"/>
  <c r="F78" i="1"/>
  <c r="E78" i="1"/>
  <c r="G78" i="1" s="1"/>
  <c r="F77" i="1"/>
  <c r="E77" i="1"/>
  <c r="G77" i="1" s="1"/>
  <c r="F76" i="1"/>
  <c r="G76" i="1" s="1"/>
  <c r="E76" i="1"/>
  <c r="G75" i="1"/>
  <c r="F75" i="1"/>
  <c r="E75" i="1"/>
  <c r="F74" i="1"/>
  <c r="E74" i="1"/>
  <c r="G74" i="1" s="1"/>
  <c r="F73" i="1"/>
  <c r="E73" i="1"/>
  <c r="G73" i="1" s="1"/>
  <c r="G72" i="1"/>
  <c r="F72" i="1"/>
  <c r="E72" i="1"/>
  <c r="F71" i="1"/>
  <c r="E71" i="1"/>
  <c r="G71" i="1" s="1"/>
  <c r="F70" i="1"/>
  <c r="E70" i="1"/>
  <c r="G70" i="1" s="1"/>
  <c r="G69" i="1"/>
  <c r="F69" i="1"/>
  <c r="E69" i="1"/>
  <c r="F68" i="1"/>
  <c r="E68" i="1"/>
  <c r="G68" i="1" s="1"/>
  <c r="F67" i="1"/>
  <c r="E67" i="1"/>
  <c r="G67" i="1" s="1"/>
  <c r="F66" i="1"/>
  <c r="G66" i="1" s="1"/>
  <c r="E66" i="1"/>
  <c r="G65" i="1"/>
  <c r="F65" i="1"/>
  <c r="E65" i="1"/>
  <c r="F64" i="1"/>
  <c r="E64" i="1"/>
  <c r="G64" i="1" s="1"/>
  <c r="F63" i="1"/>
  <c r="E63" i="1"/>
  <c r="G63" i="1" s="1"/>
  <c r="G62" i="1"/>
  <c r="F62" i="1"/>
  <c r="E62" i="1"/>
  <c r="F61" i="1"/>
  <c r="E61" i="1"/>
  <c r="G61" i="1" s="1"/>
  <c r="F60" i="1"/>
  <c r="E60" i="1"/>
  <c r="G60" i="1" s="1"/>
  <c r="G59" i="1"/>
  <c r="F59" i="1"/>
  <c r="E59" i="1"/>
  <c r="F58" i="1"/>
  <c r="E58" i="1"/>
  <c r="G58" i="1" s="1"/>
  <c r="F57" i="1"/>
  <c r="E57" i="1"/>
  <c r="G57" i="1" s="1"/>
  <c r="F56" i="1"/>
  <c r="G56" i="1" s="1"/>
  <c r="E56" i="1"/>
  <c r="G55" i="1"/>
  <c r="F55" i="1"/>
  <c r="E55" i="1"/>
  <c r="F54" i="1"/>
  <c r="E54" i="1"/>
  <c r="G54" i="1" s="1"/>
  <c r="F53" i="1"/>
  <c r="E53" i="1"/>
  <c r="G53" i="1" s="1"/>
  <c r="G52" i="1"/>
  <c r="F52" i="1"/>
  <c r="E52" i="1"/>
  <c r="F51" i="1"/>
  <c r="E51" i="1"/>
  <c r="G51" i="1" s="1"/>
  <c r="F50" i="1"/>
  <c r="E50" i="1"/>
  <c r="G50" i="1" s="1"/>
  <c r="G49" i="1"/>
  <c r="F49" i="1"/>
  <c r="E49" i="1"/>
  <c r="F48" i="1"/>
  <c r="E48" i="1"/>
  <c r="G48" i="1" s="1"/>
  <c r="F47" i="1"/>
  <c r="E47" i="1"/>
  <c r="G47" i="1" s="1"/>
  <c r="F46" i="1"/>
  <c r="G46" i="1" s="1"/>
  <c r="E46" i="1"/>
  <c r="G45" i="1"/>
  <c r="F45" i="1"/>
  <c r="E45" i="1"/>
  <c r="F44" i="1"/>
  <c r="E44" i="1"/>
  <c r="G44" i="1" s="1"/>
  <c r="F43" i="1"/>
  <c r="E43" i="1"/>
  <c r="G43" i="1" s="1"/>
  <c r="G42" i="1"/>
  <c r="F42" i="1"/>
  <c r="E42" i="1"/>
  <c r="F41" i="1"/>
  <c r="E41" i="1"/>
  <c r="G41" i="1" s="1"/>
  <c r="F40" i="1"/>
  <c r="E40" i="1"/>
  <c r="G40" i="1" s="1"/>
  <c r="G39" i="1"/>
  <c r="F39" i="1"/>
  <c r="E39" i="1"/>
  <c r="F38" i="1"/>
  <c r="E38" i="1"/>
  <c r="G38" i="1" s="1"/>
  <c r="F37" i="1"/>
  <c r="E37" i="1"/>
  <c r="G37" i="1" s="1"/>
  <c r="F36" i="1"/>
  <c r="G36" i="1" s="1"/>
  <c r="E36" i="1"/>
  <c r="G35" i="1"/>
  <c r="F35" i="1"/>
  <c r="E35" i="1"/>
  <c r="F34" i="1"/>
  <c r="E34" i="1"/>
  <c r="G34" i="1" s="1"/>
  <c r="F33" i="1"/>
  <c r="E33" i="1"/>
  <c r="G33" i="1" s="1"/>
  <c r="G32" i="1"/>
  <c r="F32" i="1"/>
  <c r="E32" i="1"/>
  <c r="F31" i="1"/>
  <c r="E31" i="1"/>
  <c r="G31" i="1" s="1"/>
  <c r="F30" i="1"/>
  <c r="E30" i="1"/>
  <c r="G30" i="1" s="1"/>
  <c r="G29" i="1"/>
  <c r="F29" i="1"/>
  <c r="E29" i="1"/>
  <c r="F28" i="1"/>
  <c r="E28" i="1"/>
  <c r="G28" i="1" s="1"/>
  <c r="F27" i="1"/>
  <c r="E27" i="1"/>
  <c r="G27" i="1" s="1"/>
  <c r="F26" i="1"/>
  <c r="G26" i="1" s="1"/>
  <c r="E26" i="1"/>
  <c r="G25" i="1"/>
  <c r="F25" i="1"/>
  <c r="E25" i="1"/>
  <c r="F24" i="1"/>
  <c r="E24" i="1"/>
  <c r="G24" i="1" s="1"/>
  <c r="F23" i="1"/>
  <c r="E23" i="1"/>
  <c r="G23" i="1" s="1"/>
  <c r="G22" i="1"/>
  <c r="F22" i="1"/>
  <c r="E22" i="1"/>
  <c r="F21" i="1"/>
  <c r="E21" i="1"/>
  <c r="G21" i="1" s="1"/>
  <c r="F20" i="1"/>
  <c r="E20" i="1"/>
  <c r="G20" i="1" s="1"/>
  <c r="G19" i="1"/>
  <c r="F19" i="1"/>
  <c r="E19" i="1"/>
  <c r="F18" i="1"/>
  <c r="E18" i="1"/>
  <c r="G18" i="1" s="1"/>
  <c r="F17" i="1"/>
  <c r="E17" i="1"/>
  <c r="G17" i="1" s="1"/>
  <c r="F16" i="1"/>
  <c r="G16" i="1" s="1"/>
  <c r="E16" i="1"/>
  <c r="G15" i="1"/>
  <c r="F15" i="1"/>
  <c r="E15" i="1"/>
  <c r="F14" i="1"/>
  <c r="E14" i="1"/>
  <c r="G14" i="1" s="1"/>
  <c r="F13" i="1"/>
  <c r="E13" i="1"/>
  <c r="G13" i="1" s="1"/>
  <c r="G12" i="1"/>
  <c r="F12" i="1"/>
  <c r="E12" i="1"/>
  <c r="F11" i="1"/>
  <c r="E11" i="1"/>
  <c r="G11" i="1" s="1"/>
  <c r="F10" i="1"/>
  <c r="E10" i="1"/>
  <c r="G10" i="1" s="1"/>
  <c r="G9" i="1"/>
  <c r="F9" i="1"/>
  <c r="E9" i="1"/>
  <c r="F8" i="1"/>
  <c r="E8" i="1"/>
  <c r="G8" i="1" s="1"/>
  <c r="F7" i="1"/>
  <c r="E7" i="1"/>
  <c r="G7" i="1" s="1"/>
  <c r="F6" i="1"/>
  <c r="G6" i="1" s="1"/>
  <c r="E6" i="1"/>
  <c r="G5" i="1"/>
  <c r="F5" i="1"/>
  <c r="E5" i="1"/>
  <c r="F4" i="1"/>
  <c r="E4" i="1"/>
  <c r="G4" i="1" s="1"/>
  <c r="F3" i="1"/>
  <c r="E3" i="1"/>
  <c r="G3" i="1" s="1"/>
  <c r="G2" i="1"/>
  <c r="F2" i="1"/>
  <c r="E2" i="1"/>
</calcChain>
</file>

<file path=xl/sharedStrings.xml><?xml version="1.0" encoding="utf-8"?>
<sst xmlns="http://schemas.openxmlformats.org/spreadsheetml/2006/main" count="535" uniqueCount="216">
  <si>
    <t>filename</t>
  </si>
  <si>
    <t>Type</t>
  </si>
  <si>
    <t>Model</t>
  </si>
  <si>
    <t>sphere_radius</t>
  </si>
  <si>
    <t>curvature</t>
  </si>
  <si>
    <t>predict_curvature</t>
  </si>
  <si>
    <t>error</t>
  </si>
  <si>
    <t>length_x</t>
  </si>
  <si>
    <t>width_y</t>
  </si>
  <si>
    <t>height_z</t>
  </si>
  <si>
    <t>sphere_center_x</t>
  </si>
  <si>
    <t>sphere_center_y</t>
  </si>
  <si>
    <t>sphere_center_z</t>
  </si>
  <si>
    <t>C.PallidusA.stl</t>
  </si>
  <si>
    <t>Darwins Finches</t>
  </si>
  <si>
    <t>Training</t>
  </si>
  <si>
    <t>C.PallidusB.stl</t>
  </si>
  <si>
    <t>C.PallidusC.stl</t>
  </si>
  <si>
    <t>Test</t>
  </si>
  <si>
    <t>C.PallidusD.stl</t>
  </si>
  <si>
    <t>C.ParvulusA.stl</t>
  </si>
  <si>
    <t>C.ParvulusB.stl</t>
  </si>
  <si>
    <t>C.ParvulusC.stl</t>
  </si>
  <si>
    <t>C.ParvulusD.stl</t>
  </si>
  <si>
    <t>C.ParvulusE.stl</t>
  </si>
  <si>
    <t>C.PsittaculaA.stl</t>
  </si>
  <si>
    <t>C.PsittaculaB.stl</t>
  </si>
  <si>
    <t>C.PsittaculaC.stl</t>
  </si>
  <si>
    <t>C.PsittaculaD.stl</t>
  </si>
  <si>
    <t>C.flaveolaA.stl</t>
  </si>
  <si>
    <t>DF Relatives</t>
  </si>
  <si>
    <t>C.flaveolaB.stl</t>
  </si>
  <si>
    <t>C.flaveolaC.stl</t>
  </si>
  <si>
    <t>C.flaveolaD.stl</t>
  </si>
  <si>
    <t>C.flaveolaE.stl</t>
  </si>
  <si>
    <t>C2.FuscaA.stl</t>
  </si>
  <si>
    <t>C2.FuscaB.stl</t>
  </si>
  <si>
    <t>C2.OlivaceaA.stl</t>
  </si>
  <si>
    <t>C2.OlivaceaB.stl</t>
  </si>
  <si>
    <t>C2.OlivaceaC.stl</t>
  </si>
  <si>
    <t>E.campestrisA.stl</t>
  </si>
  <si>
    <t>E.campestrisB.stl</t>
  </si>
  <si>
    <t>E.campestrisC.stl</t>
  </si>
  <si>
    <t>E.campestrisD.stl</t>
  </si>
  <si>
    <t>E.campestrisE.stl</t>
  </si>
  <si>
    <t>G.ConirostrisA.stl</t>
  </si>
  <si>
    <t>G.ConirostrisB.stl</t>
  </si>
  <si>
    <t>G.ConirostrisC.stl</t>
  </si>
  <si>
    <t>G.ConirostrisD.stl</t>
  </si>
  <si>
    <t>G.ConirostrisE.stl</t>
  </si>
  <si>
    <t>G.ConirostrisF.stl</t>
  </si>
  <si>
    <t>G.ConirostrisG.stl</t>
  </si>
  <si>
    <t>G.DifficilisA.stl</t>
  </si>
  <si>
    <t>G.DifficilisB.stl</t>
  </si>
  <si>
    <t>G.FortisA.stl</t>
  </si>
  <si>
    <t>G.FortisB.stl</t>
  </si>
  <si>
    <t>G.FortisC.stl</t>
  </si>
  <si>
    <t>G.FortisD.stl</t>
  </si>
  <si>
    <t>G.FortisE.stl</t>
  </si>
  <si>
    <t>G.FuliginosaA.stl</t>
  </si>
  <si>
    <t>G.FuliginosaB.stl</t>
  </si>
  <si>
    <t>G.FuliginosaC.stl</t>
  </si>
  <si>
    <t>G.FuliginosaD.stl</t>
  </si>
  <si>
    <t>G.FuliginosaE.stl</t>
  </si>
  <si>
    <t>G.FuliginosaF.stl</t>
  </si>
  <si>
    <t>G.MagnirostrisA.stl</t>
  </si>
  <si>
    <t>G.MagnirostrisB.stl</t>
  </si>
  <si>
    <t>G.MagnirostrisC.stl</t>
  </si>
  <si>
    <t>G.MagnirostrisD.stl</t>
  </si>
  <si>
    <t>G.MagnirostrisE.stl</t>
  </si>
  <si>
    <t>G.ScandensA.stl</t>
  </si>
  <si>
    <t>G.ScandensB.stl</t>
  </si>
  <si>
    <t>G.SeptentrionalistA.stl</t>
  </si>
  <si>
    <t>G.SeptentrionalistB.stl</t>
  </si>
  <si>
    <t>L.anoxanthusA.stl</t>
  </si>
  <si>
    <t>L.anoxanthusB.stl</t>
  </si>
  <si>
    <t>L.anoxanthusC.stl</t>
  </si>
  <si>
    <t>L.anoxanthusD.stl</t>
  </si>
  <si>
    <t>L.anoxanthusE.stl</t>
  </si>
  <si>
    <t>L.noctisA.stl</t>
  </si>
  <si>
    <t>L.noctisB.stl</t>
  </si>
  <si>
    <t>L.noctisC.stl</t>
  </si>
  <si>
    <t>L.noctisE.stl</t>
  </si>
  <si>
    <t>L.portoricensisA.stl</t>
  </si>
  <si>
    <t>L.portoricensisB.stl</t>
  </si>
  <si>
    <t>L.portoricensisC.stl</t>
  </si>
  <si>
    <t>L.portoricensisD.stl</t>
  </si>
  <si>
    <t>L.portoricensisE.stl</t>
  </si>
  <si>
    <t>L.violaceaA.stl</t>
  </si>
  <si>
    <t>L.violaceaB.stl</t>
  </si>
  <si>
    <t>L.violaceaC.stl</t>
  </si>
  <si>
    <t>L.violaceaD.stl</t>
  </si>
  <si>
    <t>L.violaceaE.stl</t>
  </si>
  <si>
    <t>M.nigraA.stl</t>
  </si>
  <si>
    <t>M.nigraC.stl</t>
  </si>
  <si>
    <t>M.nigraD.stl</t>
  </si>
  <si>
    <t>M.nigraE.stl</t>
  </si>
  <si>
    <t>P.CrassirostrisB.stl</t>
  </si>
  <si>
    <t>P.CrassirostrisC.stl</t>
  </si>
  <si>
    <t>P.CrassirostrisD.stl</t>
  </si>
  <si>
    <t>P.CrassirostrisE.stl</t>
  </si>
  <si>
    <t>P2.InornataA.stl</t>
  </si>
  <si>
    <t>P2.InornataB.stl</t>
  </si>
  <si>
    <t>T.BicolorA.stl</t>
  </si>
  <si>
    <t>T.BicolorB.stl</t>
  </si>
  <si>
    <t>T.BicolorC.stl</t>
  </si>
  <si>
    <t>T.BicolorD.stl</t>
  </si>
  <si>
    <t>T.BicolorE.stl</t>
  </si>
  <si>
    <t>T.canoraA.stl</t>
  </si>
  <si>
    <t>T.canoraB.stl</t>
  </si>
  <si>
    <t>T.canoraC.stl</t>
  </si>
  <si>
    <t>T.canoraD.stl</t>
  </si>
  <si>
    <t>T.canoraE.stl</t>
  </si>
  <si>
    <t>T.olivaceaB.stl</t>
  </si>
  <si>
    <t>T.olivaceaC.stl</t>
  </si>
  <si>
    <t>T.olivaceaD.stl</t>
  </si>
  <si>
    <t>T.olivaceaE.stl</t>
  </si>
  <si>
    <t>group</t>
  </si>
  <si>
    <t>species</t>
  </si>
  <si>
    <t>orbit_patch</t>
  </si>
  <si>
    <t>orbit_inliers</t>
  </si>
  <si>
    <t>fit_error_pct</t>
  </si>
  <si>
    <t>sphere_center_along_pct</t>
  </si>
  <si>
    <t>second_sphere_radius</t>
  </si>
  <si>
    <t>second_orbit_inliers</t>
  </si>
  <si>
    <t>second_fit_error_pct</t>
  </si>
  <si>
    <t>closed</t>
  </si>
  <si>
    <t>n_components</t>
  </si>
  <si>
    <t>genus_largest</t>
  </si>
  <si>
    <t>C. flavaA.stl</t>
  </si>
  <si>
    <t>Honeycreepers</t>
  </si>
  <si>
    <t>Chlorodrepanis flava</t>
  </si>
  <si>
    <t>C. stejnegeriA.stl</t>
  </si>
  <si>
    <t>Chlorodrepanis stejnegeri</t>
  </si>
  <si>
    <t>C. stejnegeriB.stl</t>
  </si>
  <si>
    <t>C. stejnegeriC.stl</t>
  </si>
  <si>
    <t>C. stejnegeriD.stl</t>
  </si>
  <si>
    <t>C. virensA.stl</t>
  </si>
  <si>
    <t>Chlorodrepanis virens</t>
  </si>
  <si>
    <t>C. virensB.stl</t>
  </si>
  <si>
    <t>C. virensC.stl</t>
  </si>
  <si>
    <t>C. virensD.stl</t>
  </si>
  <si>
    <t>C.virensE.stl</t>
  </si>
  <si>
    <t>C.virensF.stl</t>
  </si>
  <si>
    <t>C.virensG.stl</t>
  </si>
  <si>
    <t>H. sanguineaA.stl</t>
  </si>
  <si>
    <t>Himatione sanguinea</t>
  </si>
  <si>
    <t>H. sanguineaB.stl</t>
  </si>
  <si>
    <t>H. sanguineaC.stl</t>
  </si>
  <si>
    <t>H. sanguineaD.stl</t>
  </si>
  <si>
    <t>H. wilsoniA.stl</t>
  </si>
  <si>
    <t>Hemignathus wilsoni</t>
  </si>
  <si>
    <t>H.wilsoniB.stl</t>
  </si>
  <si>
    <t>L. bailleuiA.stl</t>
  </si>
  <si>
    <t>Loxioides bailleui</t>
  </si>
  <si>
    <t>L. caeruleirostrisA.stl</t>
  </si>
  <si>
    <t>Loxops caeruleirostris</t>
  </si>
  <si>
    <t>L. coccineusA.stl</t>
  </si>
  <si>
    <t>Loxops coccineus</t>
  </si>
  <si>
    <t>L. coccineusB.stl</t>
  </si>
  <si>
    <t>M. manaA.stl</t>
  </si>
  <si>
    <t>Manucerthia mana</t>
  </si>
  <si>
    <t>M. parvaA.stl</t>
  </si>
  <si>
    <t>Magumma parva</t>
  </si>
  <si>
    <t>M. parvaB.stl</t>
  </si>
  <si>
    <t>M. parvaC.stl</t>
  </si>
  <si>
    <t>M. phaeosomaA.stl</t>
  </si>
  <si>
    <t>Melamprosops phaeosoma</t>
  </si>
  <si>
    <t>M. phaeosomaB.stl</t>
  </si>
  <si>
    <t>O. bairdiA.stl</t>
  </si>
  <si>
    <t>Oreomystis bairdi</t>
  </si>
  <si>
    <t>O. bairdiB.stl</t>
  </si>
  <si>
    <t>P. montanaA.stl</t>
  </si>
  <si>
    <t>Paroreomyza montana</t>
  </si>
  <si>
    <t>P. xanthophrysA.stl</t>
  </si>
  <si>
    <t>Pseudonestor xanthophrys</t>
  </si>
  <si>
    <t>P.doleiA.stl</t>
  </si>
  <si>
    <t>Palmeria dolei</t>
  </si>
  <si>
    <t>T. cantansA.stl</t>
  </si>
  <si>
    <t>Telespiza cantans</t>
  </si>
  <si>
    <t>T. cantansB.stl</t>
  </si>
  <si>
    <t>T. cantansC.stl</t>
  </si>
  <si>
    <t>T. cantansD.stl</t>
  </si>
  <si>
    <t>T. ultimaA.stl</t>
  </si>
  <si>
    <t>Telespiza ultima</t>
  </si>
  <si>
    <t>V. coccineaA.stl</t>
  </si>
  <si>
    <t>Vestiaria coccinea</t>
  </si>
  <si>
    <t>V. coccineaB.stl</t>
  </si>
  <si>
    <t>V. coccineaC.stl</t>
  </si>
  <si>
    <t>V. coccineaD.stl</t>
  </si>
  <si>
    <t>C.erythrinusA.stl</t>
  </si>
  <si>
    <t>HC relatives</t>
  </si>
  <si>
    <t>Carpodacus erythrinus</t>
  </si>
  <si>
    <t>C.erythrinusB.stl</t>
  </si>
  <si>
    <t>L. arctoaA.stl</t>
  </si>
  <si>
    <t>Leucosticte arctoa</t>
  </si>
  <si>
    <t>L. arctoaB.stl</t>
  </si>
  <si>
    <t>L.brandtiA.stl</t>
  </si>
  <si>
    <t>Leucosticte brandti</t>
  </si>
  <si>
    <t>L.brandtiB.stl</t>
  </si>
  <si>
    <t>P.enucleatorA.stl</t>
  </si>
  <si>
    <t>Pinicola enucleator</t>
  </si>
  <si>
    <t>P.enucleatorB.stl</t>
  </si>
  <si>
    <t>P.pyrrhulaA.stl</t>
  </si>
  <si>
    <t>Pyrrhula pyrrhula</t>
  </si>
  <si>
    <t>Peromyscus_Gossypinua_watertight.stl</t>
  </si>
  <si>
    <t>Peromyscus</t>
  </si>
  <si>
    <t>Peromyscus gossypinus</t>
  </si>
  <si>
    <t>Peromyscus_Simulus_Watertight.stl</t>
  </si>
  <si>
    <t>Peromyscus simulus</t>
  </si>
  <si>
    <t>human_cranium_Arothron_raw_FH.stl</t>
  </si>
  <si>
    <t>Human</t>
  </si>
  <si>
    <t>Homo sapiens</t>
  </si>
  <si>
    <t>human_cranium_BodyParts3D_raw_FH.stl</t>
  </si>
  <si>
    <t>human_cranium_CT_Philips_raw_FH.stl</t>
  </si>
  <si>
    <t>human_cranium_s1397_raw_FH.stl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</si>
</sst>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5">
    <font>
      <sz val="11"/>
      <name val="Carlito"/>
    </font>
    <font>
      <sz val="12"/>
      <color rgb="FF111111"/>
      <name val="Arial"/>
      <family val="2"/>
    </font>
    <font>
      <b/>
      <sz val="16"/>
      <color rgb="FF111111"/>
      <name val="Arial"/>
      <family val="2"/>
    </font>
    <font>
      <sz val="11"/>
      <name val="Carlito"/>
    </font>
    <font>
      <sz val="9"/>
      <name val="Wawati TC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2DCDB"/>
      </patternFill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176" fontId="1" fillId="0" borderId="0" xfId="1" applyNumberFormat="1" applyFont="1" applyAlignment="1">
      <alignment horizontal="center" vertical="center"/>
    </xf>
    <xf numFmtId="176" fontId="1" fillId="3" borderId="0" xfId="1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" fillId="0" borderId="0" xfId="1" applyNumberFormat="1" applyFont="1" applyAlignment="1">
      <alignment horizontal="center" vertical="center"/>
    </xf>
    <xf numFmtId="2" fontId="1" fillId="0" borderId="0" xfId="1" applyNumberFormat="1" applyFont="1" applyAlignment="1">
      <alignment horizontal="center" vertical="center"/>
    </xf>
  </cellXfs>
  <cellStyles count="2">
    <cellStyle name="一般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pane xSplit="1" ySplit="1" topLeftCell="G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4"/>
  <cols>
    <col min="1" max="1" width="45" customWidth="1"/>
    <col min="2" max="3" width="22" customWidth="1"/>
    <col min="4" max="4" width="23" customWidth="1"/>
    <col min="5" max="5" width="20" customWidth="1"/>
    <col min="6" max="6" width="26" customWidth="1"/>
    <col min="7" max="7" width="19" customWidth="1"/>
    <col min="8" max="10" width="21" customWidth="1"/>
    <col min="11" max="13" width="26" customWidth="1"/>
  </cols>
  <sheetData>
    <row r="1" spans="1:13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" customHeight="1">
      <c r="A2" s="3" t="s">
        <v>13</v>
      </c>
      <c r="B2" s="1" t="s">
        <v>14</v>
      </c>
      <c r="C2" s="1" t="s">
        <v>15</v>
      </c>
      <c r="D2" s="4">
        <v>3.246559210838436</v>
      </c>
      <c r="E2" s="4">
        <f t="shared" ref="E2:E33" si="0">1/D2</f>
        <v>0.3080184081231484</v>
      </c>
      <c r="F2" s="5">
        <f t="shared" ref="F2:F33" si="1">0.5653-0.0013*H2-0.0004*I2-0.0153*J2</f>
        <v>0.25819107952117931</v>
      </c>
      <c r="G2" s="5">
        <f t="shared" ref="G2:G33" si="2">ABS(E2-F2)/E2</f>
        <v>0.16176737262419622</v>
      </c>
      <c r="H2" s="4">
        <v>33.215496063232422</v>
      </c>
      <c r="I2" s="4">
        <v>17.38239860534668</v>
      </c>
      <c r="J2" s="4">
        <v>16.795804977416989</v>
      </c>
      <c r="K2" s="4">
        <v>-3.8944786427133602</v>
      </c>
      <c r="L2" s="4">
        <v>-4.5074869260810564</v>
      </c>
      <c r="M2" s="4">
        <v>0.93474688149624996</v>
      </c>
    </row>
    <row r="3" spans="1:13" ht="20" customHeight="1">
      <c r="A3" s="3" t="s">
        <v>16</v>
      </c>
      <c r="B3" s="1" t="s">
        <v>14</v>
      </c>
      <c r="C3" s="1" t="s">
        <v>15</v>
      </c>
      <c r="D3" s="4">
        <v>3.336378130704118</v>
      </c>
      <c r="E3" s="4">
        <f t="shared" si="0"/>
        <v>0.2997262183195516</v>
      </c>
      <c r="F3" s="5">
        <f t="shared" si="1"/>
        <v>0.2751225206375123</v>
      </c>
      <c r="G3" s="5">
        <f t="shared" si="2"/>
        <v>8.20872388808115E-2</v>
      </c>
      <c r="H3" s="4">
        <v>32.929000854492188</v>
      </c>
      <c r="I3" s="4">
        <v>16.971269130706791</v>
      </c>
      <c r="J3" s="4">
        <v>15.72426605224609</v>
      </c>
      <c r="K3" s="4">
        <v>-4.6266811942176718</v>
      </c>
      <c r="L3" s="4">
        <v>-3.2525554682549949</v>
      </c>
      <c r="M3" s="4">
        <v>0.96441201793629272</v>
      </c>
    </row>
    <row r="4" spans="1:13" ht="20" customHeight="1">
      <c r="A4" s="3" t="s">
        <v>17</v>
      </c>
      <c r="B4" s="1" t="s">
        <v>14</v>
      </c>
      <c r="C4" s="1" t="s">
        <v>18</v>
      </c>
      <c r="D4" s="4">
        <v>3.5372714370730791</v>
      </c>
      <c r="E4" s="4">
        <f t="shared" si="0"/>
        <v>0.28270377826233534</v>
      </c>
      <c r="F4" s="5">
        <f t="shared" si="1"/>
        <v>0.27409569416046131</v>
      </c>
      <c r="G4" s="5">
        <f t="shared" si="2"/>
        <v>3.0449130021481856E-2</v>
      </c>
      <c r="H4" s="4">
        <v>33.028787612915039</v>
      </c>
      <c r="I4" s="4">
        <v>17.054965972900391</v>
      </c>
      <c r="J4" s="4">
        <v>15.78071212768555</v>
      </c>
      <c r="K4" s="4">
        <v>-4.7137495229738029</v>
      </c>
      <c r="L4" s="4">
        <v>-3.6384079346905329</v>
      </c>
      <c r="M4" s="4">
        <v>0.53685027676750174</v>
      </c>
    </row>
    <row r="5" spans="1:13" ht="20" customHeight="1">
      <c r="A5" s="3" t="s">
        <v>19</v>
      </c>
      <c r="B5" s="1" t="s">
        <v>14</v>
      </c>
      <c r="C5" s="1" t="s">
        <v>18</v>
      </c>
      <c r="D5" s="4">
        <v>3.6679562038822451</v>
      </c>
      <c r="E5" s="4">
        <f t="shared" si="0"/>
        <v>0.27263139045705564</v>
      </c>
      <c r="F5" s="5">
        <f t="shared" si="1"/>
        <v>0.27409561891555789</v>
      </c>
      <c r="G5" s="5">
        <f t="shared" si="2"/>
        <v>5.3707258582642572E-3</v>
      </c>
      <c r="H5" s="4">
        <v>33.028827667236328</v>
      </c>
      <c r="I5" s="4">
        <v>17.05498743057251</v>
      </c>
      <c r="J5" s="4">
        <v>15.78071308135986</v>
      </c>
      <c r="K5" s="4">
        <v>-4.6375889177710423</v>
      </c>
      <c r="L5" s="4">
        <v>-3.7292332496762972</v>
      </c>
      <c r="M5" s="4">
        <v>0.45250741795018301</v>
      </c>
    </row>
    <row r="6" spans="1:13" ht="20" customHeight="1">
      <c r="A6" s="3" t="s">
        <v>20</v>
      </c>
      <c r="B6" s="1" t="s">
        <v>14</v>
      </c>
      <c r="C6" s="1" t="s">
        <v>15</v>
      </c>
      <c r="D6" s="4">
        <v>2.6877771679805051</v>
      </c>
      <c r="E6" s="4">
        <f t="shared" si="0"/>
        <v>0.37205465241427083</v>
      </c>
      <c r="F6" s="5">
        <f t="shared" si="1"/>
        <v>0.28797654395103467</v>
      </c>
      <c r="G6" s="5">
        <f t="shared" si="2"/>
        <v>0.22598322025447459</v>
      </c>
      <c r="H6" s="4">
        <v>25.448855400085449</v>
      </c>
      <c r="I6" s="4">
        <v>15.80423641204834</v>
      </c>
      <c r="J6" s="4">
        <v>15.55021238327026</v>
      </c>
      <c r="K6" s="4">
        <v>-4.2574675874529451</v>
      </c>
      <c r="L6" s="4">
        <v>3.6832337264772779</v>
      </c>
      <c r="M6" s="4">
        <v>0.16241036795948199</v>
      </c>
    </row>
    <row r="7" spans="1:13" ht="20" customHeight="1">
      <c r="A7" s="3" t="s">
        <v>21</v>
      </c>
      <c r="B7" s="1" t="s">
        <v>14</v>
      </c>
      <c r="C7" s="1" t="s">
        <v>18</v>
      </c>
      <c r="D7" s="4">
        <v>3.4192375481141521</v>
      </c>
      <c r="E7" s="4">
        <f t="shared" si="0"/>
        <v>0.29246286224001616</v>
      </c>
      <c r="F7" s="5">
        <f t="shared" si="1"/>
        <v>0.29279886579513553</v>
      </c>
      <c r="G7" s="5">
        <f t="shared" si="2"/>
        <v>1.1488759719639882E-3</v>
      </c>
      <c r="H7" s="4">
        <v>26.496112823486332</v>
      </c>
      <c r="I7" s="4">
        <v>15.334639549255369</v>
      </c>
      <c r="J7" s="4">
        <v>15.158322334289551</v>
      </c>
      <c r="K7" s="4">
        <v>-3.638224932718356</v>
      </c>
      <c r="L7" s="4">
        <v>-3.667999626546727</v>
      </c>
      <c r="M7" s="4">
        <v>0.4903035043373023</v>
      </c>
    </row>
    <row r="8" spans="1:13" ht="20" customHeight="1">
      <c r="A8" s="3" t="s">
        <v>22</v>
      </c>
      <c r="B8" s="1" t="s">
        <v>14</v>
      </c>
      <c r="C8" s="1" t="s">
        <v>18</v>
      </c>
      <c r="D8" s="4">
        <v>3.225826316158189</v>
      </c>
      <c r="E8" s="4">
        <f t="shared" si="0"/>
        <v>0.30999809102895348</v>
      </c>
      <c r="F8" s="5">
        <f t="shared" si="1"/>
        <v>0.3146492402076721</v>
      </c>
      <c r="G8" s="5">
        <f t="shared" si="2"/>
        <v>1.5003799421088062E-2</v>
      </c>
      <c r="H8" s="4">
        <v>24.954890251159672</v>
      </c>
      <c r="I8" s="4">
        <v>14.926009178161619</v>
      </c>
      <c r="J8" s="4">
        <v>13.871829986572269</v>
      </c>
      <c r="K8" s="4">
        <v>-4.1102174156413422</v>
      </c>
      <c r="L8" s="4">
        <v>4.2942615644084867</v>
      </c>
      <c r="M8" s="4">
        <v>-0.27045322304832109</v>
      </c>
    </row>
    <row r="9" spans="1:13" ht="20" customHeight="1">
      <c r="A9" s="3" t="s">
        <v>23</v>
      </c>
      <c r="B9" s="1" t="s">
        <v>14</v>
      </c>
      <c r="C9" s="1" t="s">
        <v>18</v>
      </c>
      <c r="D9" s="4">
        <v>3.225839758227544</v>
      </c>
      <c r="E9" s="4">
        <f t="shared" si="0"/>
        <v>0.30999679926738077</v>
      </c>
      <c r="F9" s="5">
        <f t="shared" si="1"/>
        <v>0.31464819040298464</v>
      </c>
      <c r="G9" s="5">
        <f t="shared" si="2"/>
        <v>1.5004642456298116E-2</v>
      </c>
      <c r="H9" s="4">
        <v>24.95499420166016</v>
      </c>
      <c r="I9" s="4">
        <v>14.926070690155029</v>
      </c>
      <c r="J9" s="4">
        <v>13.87188816070557</v>
      </c>
      <c r="K9" s="4">
        <v>-4.1101692632810867</v>
      </c>
      <c r="L9" s="4">
        <v>4.2943756860099684</v>
      </c>
      <c r="M9" s="4">
        <v>-0.27032769667307971</v>
      </c>
    </row>
    <row r="10" spans="1:13" ht="20" customHeight="1">
      <c r="A10" s="3" t="s">
        <v>24</v>
      </c>
      <c r="B10" s="1" t="s">
        <v>14</v>
      </c>
      <c r="C10" s="1" t="s">
        <v>15</v>
      </c>
      <c r="D10" s="4">
        <v>3.489172992847017</v>
      </c>
      <c r="E10" s="4">
        <f t="shared" si="0"/>
        <v>0.28660086560627723</v>
      </c>
      <c r="F10" s="5">
        <f t="shared" si="1"/>
        <v>0.28775585446357732</v>
      </c>
      <c r="G10" s="5">
        <f t="shared" si="2"/>
        <v>4.0299559279307028E-3</v>
      </c>
      <c r="H10" s="4">
        <v>24.482098579406738</v>
      </c>
      <c r="I10" s="4">
        <v>15.753777027130131</v>
      </c>
      <c r="J10" s="4">
        <v>15.648098468780519</v>
      </c>
      <c r="K10" s="4">
        <v>-3.963584776365995</v>
      </c>
      <c r="L10" s="4">
        <v>4.1977226184177132</v>
      </c>
      <c r="M10" s="4">
        <v>0.28878113015168477</v>
      </c>
    </row>
    <row r="11" spans="1:13" ht="20" customHeight="1">
      <c r="A11" s="3" t="s">
        <v>25</v>
      </c>
      <c r="B11" s="1" t="s">
        <v>14</v>
      </c>
      <c r="C11" s="1" t="s">
        <v>15</v>
      </c>
      <c r="D11" s="4">
        <v>3.329705730682901</v>
      </c>
      <c r="E11" s="4">
        <f t="shared" si="0"/>
        <v>0.30032683993216014</v>
      </c>
      <c r="F11" s="5">
        <f t="shared" si="1"/>
        <v>0.24554148073196425</v>
      </c>
      <c r="G11" s="5">
        <f t="shared" si="2"/>
        <v>0.18241912448641348</v>
      </c>
      <c r="H11" s="4">
        <v>29.408774375915531</v>
      </c>
      <c r="I11" s="4">
        <v>18.660337448120121</v>
      </c>
      <c r="J11" s="4">
        <v>17.912612915039059</v>
      </c>
      <c r="K11" s="4">
        <v>-4.2940594446910527</v>
      </c>
      <c r="L11" s="4">
        <v>4.456033342769838</v>
      </c>
      <c r="M11" s="4">
        <v>0.76902480216833125</v>
      </c>
    </row>
    <row r="12" spans="1:13" ht="20" customHeight="1">
      <c r="A12" s="3" t="s">
        <v>26</v>
      </c>
      <c r="B12" s="1" t="s">
        <v>14</v>
      </c>
      <c r="C12" s="1" t="s">
        <v>15</v>
      </c>
      <c r="D12" s="4">
        <v>3.342921935481368</v>
      </c>
      <c r="E12" s="4">
        <f t="shared" si="0"/>
        <v>0.29913950110115384</v>
      </c>
      <c r="F12" s="5">
        <f t="shared" si="1"/>
        <v>0.2695984833717347</v>
      </c>
      <c r="G12" s="5">
        <f t="shared" si="2"/>
        <v>9.875331616411924E-2</v>
      </c>
      <c r="H12" s="4">
        <v>28.575350761413571</v>
      </c>
      <c r="I12" s="4">
        <v>17.40716648101807</v>
      </c>
      <c r="J12" s="4">
        <v>16.4438362121582</v>
      </c>
      <c r="K12" s="4">
        <v>-3.5478753528582958</v>
      </c>
      <c r="L12" s="4">
        <v>4.3783408301178337</v>
      </c>
      <c r="M12" s="4">
        <v>-0.50317553771185797</v>
      </c>
    </row>
    <row r="13" spans="1:13" ht="20" customHeight="1">
      <c r="A13" s="3" t="s">
        <v>27</v>
      </c>
      <c r="B13" s="1" t="s">
        <v>14</v>
      </c>
      <c r="C13" s="1" t="s">
        <v>15</v>
      </c>
      <c r="D13" s="4">
        <v>4.2798980008184389</v>
      </c>
      <c r="E13" s="4">
        <f t="shared" si="0"/>
        <v>0.23365042807299879</v>
      </c>
      <c r="F13" s="5">
        <f t="shared" si="1"/>
        <v>0.28845032582283026</v>
      </c>
      <c r="G13" s="5">
        <f t="shared" si="2"/>
        <v>0.23453797282455854</v>
      </c>
      <c r="H13" s="4">
        <v>28.381916999816891</v>
      </c>
      <c r="I13" s="4">
        <v>16.269420146942139</v>
      </c>
      <c r="J13" s="4">
        <v>15.257870197296141</v>
      </c>
      <c r="K13" s="4">
        <v>-4.7859382250608453</v>
      </c>
      <c r="L13" s="4">
        <v>-4.5340663940212389</v>
      </c>
      <c r="M13" s="4">
        <v>-0.20698799715727989</v>
      </c>
    </row>
    <row r="14" spans="1:13" ht="20" customHeight="1">
      <c r="A14" s="3" t="s">
        <v>28</v>
      </c>
      <c r="B14" s="1" t="s">
        <v>14</v>
      </c>
      <c r="C14" s="1" t="s">
        <v>15</v>
      </c>
      <c r="D14" s="4">
        <v>3.6115108096864939</v>
      </c>
      <c r="E14" s="4">
        <f t="shared" si="0"/>
        <v>0.27689242887433235</v>
      </c>
      <c r="F14" s="5">
        <f t="shared" si="1"/>
        <v>0.28675367660522455</v>
      </c>
      <c r="G14" s="5">
        <f t="shared" si="2"/>
        <v>3.5614002777113581E-2</v>
      </c>
      <c r="H14" s="4">
        <v>28.123602867126461</v>
      </c>
      <c r="I14" s="4">
        <v>16.116238594055179</v>
      </c>
      <c r="J14" s="4">
        <v>15.39471530914307</v>
      </c>
      <c r="K14" s="4">
        <v>-4.4622504735973836</v>
      </c>
      <c r="L14" s="4">
        <v>-3.664765782808872</v>
      </c>
      <c r="M14" s="4">
        <v>-8.801757228397343E-2</v>
      </c>
    </row>
    <row r="15" spans="1:13" ht="20" customHeight="1">
      <c r="A15" s="3" t="s">
        <v>29</v>
      </c>
      <c r="B15" s="1" t="s">
        <v>30</v>
      </c>
      <c r="C15" s="1" t="s">
        <v>15</v>
      </c>
      <c r="D15" s="4">
        <v>2.7092593020708562</v>
      </c>
      <c r="E15" s="4">
        <f t="shared" si="0"/>
        <v>0.36910457379832101</v>
      </c>
      <c r="F15" s="5">
        <f t="shared" si="1"/>
        <v>0.34170587844848632</v>
      </c>
      <c r="G15" s="5">
        <f t="shared" si="2"/>
        <v>7.4230170241145144E-2</v>
      </c>
      <c r="H15" s="4">
        <v>27.784895896911621</v>
      </c>
      <c r="I15" s="4">
        <v>13.074989795684809</v>
      </c>
      <c r="J15" s="4">
        <v>11.911356925964361</v>
      </c>
      <c r="K15" s="4">
        <v>-2.434304903143536</v>
      </c>
      <c r="L15" s="4">
        <v>-2.1108237117738811</v>
      </c>
      <c r="M15" s="4">
        <v>1.850428204692927</v>
      </c>
    </row>
    <row r="16" spans="1:13" ht="20" customHeight="1">
      <c r="A16" s="3" t="s">
        <v>31</v>
      </c>
      <c r="B16" s="1" t="s">
        <v>30</v>
      </c>
      <c r="C16" s="1" t="s">
        <v>18</v>
      </c>
      <c r="D16" s="4">
        <v>2.824860658125365</v>
      </c>
      <c r="E16" s="4">
        <f t="shared" si="0"/>
        <v>0.35399976176652209</v>
      </c>
      <c r="F16" s="5">
        <f t="shared" si="1"/>
        <v>0.3487156929969788</v>
      </c>
      <c r="G16" s="5">
        <f t="shared" si="2"/>
        <v>1.4926757981911754E-2</v>
      </c>
      <c r="H16" s="4">
        <v>26.48240852355957</v>
      </c>
      <c r="I16" s="4">
        <v>12.73842239379883</v>
      </c>
      <c r="J16" s="4">
        <v>11.572667121887211</v>
      </c>
      <c r="K16" s="4">
        <v>-2.8676145274113178</v>
      </c>
      <c r="L16" s="4">
        <v>3.977268144723237</v>
      </c>
      <c r="M16" s="4">
        <v>1.9577801375696919</v>
      </c>
    </row>
    <row r="17" spans="1:13" ht="20" customHeight="1">
      <c r="A17" s="3" t="s">
        <v>32</v>
      </c>
      <c r="B17" s="1" t="s">
        <v>30</v>
      </c>
      <c r="C17" s="1" t="s">
        <v>15</v>
      </c>
      <c r="D17" s="4">
        <v>2.7458028898491489</v>
      </c>
      <c r="E17" s="4">
        <f t="shared" si="0"/>
        <v>0.36419220174064965</v>
      </c>
      <c r="F17" s="5">
        <f t="shared" si="1"/>
        <v>0.33477308197021494</v>
      </c>
      <c r="G17" s="5">
        <f t="shared" si="2"/>
        <v>8.0779104082477848E-2</v>
      </c>
      <c r="H17" s="4">
        <v>26.630805969238281</v>
      </c>
      <c r="I17" s="4">
        <v>12.63182497024536</v>
      </c>
      <c r="J17" s="4">
        <v>12.4741268157959</v>
      </c>
      <c r="K17" s="4">
        <v>-2.4423804880107038</v>
      </c>
      <c r="L17" s="4">
        <v>-2.7252929672680422</v>
      </c>
      <c r="M17" s="4">
        <v>2.5553611848510722</v>
      </c>
    </row>
    <row r="18" spans="1:13" ht="20" customHeight="1">
      <c r="A18" s="3" t="s">
        <v>33</v>
      </c>
      <c r="B18" s="1" t="s">
        <v>30</v>
      </c>
      <c r="C18" s="1" t="s">
        <v>15</v>
      </c>
      <c r="D18" s="4">
        <v>2.352714652466779</v>
      </c>
      <c r="E18" s="4">
        <f t="shared" si="0"/>
        <v>0.42504091983765135</v>
      </c>
      <c r="F18" s="5">
        <f t="shared" si="1"/>
        <v>0.34255767707824714</v>
      </c>
      <c r="G18" s="5">
        <f t="shared" si="2"/>
        <v>0.19405953382302465</v>
      </c>
      <c r="H18" s="4">
        <v>28.237200736999512</v>
      </c>
      <c r="I18" s="4">
        <v>13.355453014373779</v>
      </c>
      <c r="J18" s="4">
        <v>11.809920310974119</v>
      </c>
      <c r="K18" s="4">
        <v>3.5590749719039061</v>
      </c>
      <c r="L18" s="4">
        <v>-1.9664455251033559</v>
      </c>
      <c r="M18" s="4">
        <v>1.2796436537210061</v>
      </c>
    </row>
    <row r="19" spans="1:13" ht="20" customHeight="1">
      <c r="A19" s="3" t="s">
        <v>34</v>
      </c>
      <c r="B19" s="1" t="s">
        <v>30</v>
      </c>
      <c r="C19" s="1" t="s">
        <v>15</v>
      </c>
      <c r="D19" s="4">
        <v>3.1932932033426602</v>
      </c>
      <c r="E19" s="4">
        <f t="shared" si="0"/>
        <v>0.31315633620903488</v>
      </c>
      <c r="F19" s="5">
        <f t="shared" si="1"/>
        <v>0.3424660340309143</v>
      </c>
      <c r="G19" s="5">
        <f t="shared" si="2"/>
        <v>9.3594458846634726E-2</v>
      </c>
      <c r="H19" s="4">
        <v>28.417263984680179</v>
      </c>
      <c r="I19" s="4">
        <v>13.429102897644039</v>
      </c>
      <c r="J19" s="4">
        <v>11.798685073852541</v>
      </c>
      <c r="K19" s="4">
        <v>-3.327211955629251</v>
      </c>
      <c r="L19" s="4">
        <v>4.456186065204002</v>
      </c>
      <c r="M19" s="4">
        <v>1.822931258855524</v>
      </c>
    </row>
    <row r="20" spans="1:13" ht="20" customHeight="1">
      <c r="A20" s="3" t="s">
        <v>35</v>
      </c>
      <c r="B20" s="1" t="s">
        <v>14</v>
      </c>
      <c r="C20" s="1" t="s">
        <v>15</v>
      </c>
      <c r="D20" s="4">
        <v>3.5698111073303869</v>
      </c>
      <c r="E20" s="4">
        <f t="shared" si="0"/>
        <v>0.28012686664192449</v>
      </c>
      <c r="F20" s="5">
        <f t="shared" si="1"/>
        <v>0.33431731252670305</v>
      </c>
      <c r="G20" s="5">
        <f t="shared" si="2"/>
        <v>0.19344965563066874</v>
      </c>
      <c r="H20" s="4">
        <v>24.786680221557621</v>
      </c>
      <c r="I20" s="4">
        <v>13.97694158554077</v>
      </c>
      <c r="J20" s="4">
        <v>12.62543964385986</v>
      </c>
      <c r="K20" s="4">
        <v>-4.0651071361285087</v>
      </c>
      <c r="L20" s="4">
        <v>-3.889200515121007</v>
      </c>
      <c r="M20" s="4">
        <v>1.2949010947108961</v>
      </c>
    </row>
    <row r="21" spans="1:13" ht="20" customHeight="1">
      <c r="A21" s="3" t="s">
        <v>36</v>
      </c>
      <c r="B21" s="1" t="s">
        <v>14</v>
      </c>
      <c r="C21" s="1" t="s">
        <v>15</v>
      </c>
      <c r="D21" s="4">
        <v>2.8936366818522159</v>
      </c>
      <c r="E21" s="4">
        <f t="shared" si="0"/>
        <v>0.34558588722337469</v>
      </c>
      <c r="F21" s="5">
        <f t="shared" si="1"/>
        <v>0.34275949339866635</v>
      </c>
      <c r="G21" s="5">
        <f t="shared" si="2"/>
        <v>8.1785568485366333E-3</v>
      </c>
      <c r="H21" s="4">
        <v>25.146866798400879</v>
      </c>
      <c r="I21" s="4">
        <v>13.38239192962646</v>
      </c>
      <c r="J21" s="4">
        <v>12.058602809906009</v>
      </c>
      <c r="K21" s="4">
        <v>-4.3369123154264617</v>
      </c>
      <c r="L21" s="4">
        <v>-2.6545887115056681</v>
      </c>
      <c r="M21" s="4">
        <v>0.63632954508162298</v>
      </c>
    </row>
    <row r="22" spans="1:13" ht="20" customHeight="1">
      <c r="A22" s="3" t="s">
        <v>37</v>
      </c>
      <c r="B22" s="1" t="s">
        <v>14</v>
      </c>
      <c r="C22" s="1" t="s">
        <v>18</v>
      </c>
      <c r="D22" s="4">
        <v>3.236028886881956</v>
      </c>
      <c r="E22" s="4">
        <f t="shared" si="0"/>
        <v>0.30902072724188201</v>
      </c>
      <c r="F22" s="5">
        <f t="shared" si="1"/>
        <v>0.33329906506538398</v>
      </c>
      <c r="G22" s="5">
        <f t="shared" si="2"/>
        <v>7.8565402522331185E-2</v>
      </c>
      <c r="H22" s="4">
        <v>26.861536979675289</v>
      </c>
      <c r="I22" s="4">
        <v>14.27973604202271</v>
      </c>
      <c r="J22" s="4">
        <v>12.5077805519104</v>
      </c>
      <c r="K22" s="4">
        <v>-4.4819147756494093</v>
      </c>
      <c r="L22" s="4">
        <v>4.0548006073674809</v>
      </c>
      <c r="M22" s="4">
        <v>1.211933092112069</v>
      </c>
    </row>
    <row r="23" spans="1:13" ht="20" customHeight="1">
      <c r="A23" s="3" t="s">
        <v>38</v>
      </c>
      <c r="B23" s="1" t="s">
        <v>14</v>
      </c>
      <c r="C23" s="1" t="s">
        <v>18</v>
      </c>
      <c r="D23" s="4">
        <v>3.0347407761604761</v>
      </c>
      <c r="E23" s="4">
        <f t="shared" si="0"/>
        <v>0.32951743616968499</v>
      </c>
      <c r="F23" s="5">
        <f t="shared" si="1"/>
        <v>0.34704299263954164</v>
      </c>
      <c r="G23" s="5">
        <f t="shared" si="2"/>
        <v>5.3185520843977027E-2</v>
      </c>
      <c r="H23" s="4">
        <v>25.989511489868161</v>
      </c>
      <c r="I23" s="4">
        <v>14.08677816390991</v>
      </c>
      <c r="J23" s="4">
        <v>11.68862295150757</v>
      </c>
      <c r="K23" s="4">
        <v>-4.1023793525891383</v>
      </c>
      <c r="L23" s="4">
        <v>3.6323528303818651</v>
      </c>
      <c r="M23" s="4">
        <v>0.62628247502223888</v>
      </c>
    </row>
    <row r="24" spans="1:13" ht="20" customHeight="1">
      <c r="A24" s="3" t="s">
        <v>39</v>
      </c>
      <c r="B24" s="1" t="s">
        <v>14</v>
      </c>
      <c r="C24" s="1" t="s">
        <v>15</v>
      </c>
      <c r="D24" s="4">
        <v>3.0844138464276591</v>
      </c>
      <c r="E24" s="4">
        <f t="shared" si="0"/>
        <v>0.32421070900008803</v>
      </c>
      <c r="F24" s="5">
        <f t="shared" si="1"/>
        <v>0.33949919981956489</v>
      </c>
      <c r="G24" s="5">
        <f t="shared" si="2"/>
        <v>4.7156032774576584E-2</v>
      </c>
      <c r="H24" s="4">
        <v>27.049003601074219</v>
      </c>
      <c r="I24" s="4">
        <v>13.985115051269529</v>
      </c>
      <c r="J24" s="4">
        <v>12.0943169593811</v>
      </c>
      <c r="K24" s="4">
        <v>-4.5492975032747882</v>
      </c>
      <c r="L24" s="4">
        <v>3.698308702374403</v>
      </c>
      <c r="M24" s="4">
        <v>0.47821883343046262</v>
      </c>
    </row>
    <row r="25" spans="1:13" ht="20" customHeight="1">
      <c r="A25" s="3" t="s">
        <v>40</v>
      </c>
      <c r="B25" s="1" t="s">
        <v>30</v>
      </c>
      <c r="C25" s="1" t="s">
        <v>18</v>
      </c>
      <c r="D25" s="4">
        <v>3.3988680920069032</v>
      </c>
      <c r="E25" s="4">
        <f t="shared" si="0"/>
        <v>0.29421559558362792</v>
      </c>
      <c r="F25" s="5">
        <f t="shared" si="1"/>
        <v>0.31178980174064641</v>
      </c>
      <c r="G25" s="5">
        <f t="shared" si="2"/>
        <v>5.9732408549441403E-2</v>
      </c>
      <c r="H25" s="4">
        <v>31.279086112976071</v>
      </c>
      <c r="I25" s="4">
        <v>14.57874011993408</v>
      </c>
      <c r="J25" s="4">
        <v>13.53045034408569</v>
      </c>
      <c r="K25" s="4">
        <v>-3.3910405651996731</v>
      </c>
      <c r="L25" s="4">
        <v>-3.4056693167669541</v>
      </c>
      <c r="M25" s="4">
        <v>1.186837091249151</v>
      </c>
    </row>
    <row r="26" spans="1:13" ht="20" customHeight="1">
      <c r="A26" s="3" t="s">
        <v>41</v>
      </c>
      <c r="B26" s="1" t="s">
        <v>30</v>
      </c>
      <c r="C26" s="1" t="s">
        <v>15</v>
      </c>
      <c r="D26" s="4">
        <v>3.3824446198831208</v>
      </c>
      <c r="E26" s="4">
        <f t="shared" si="0"/>
        <v>0.29564416047543585</v>
      </c>
      <c r="F26" s="5">
        <f t="shared" si="1"/>
        <v>0.3082004503250122</v>
      </c>
      <c r="G26" s="5">
        <f t="shared" si="2"/>
        <v>4.2470955047392574E-2</v>
      </c>
      <c r="H26" s="4">
        <v>31.166288375854489</v>
      </c>
      <c r="I26" s="4">
        <v>14.92072725296021</v>
      </c>
      <c r="J26" s="4">
        <v>13.76569175720215</v>
      </c>
      <c r="K26" s="4">
        <v>-3.5980948082520841</v>
      </c>
      <c r="L26" s="4">
        <v>-3.374092188234362</v>
      </c>
      <c r="M26" s="4">
        <v>1.1062612578505739</v>
      </c>
    </row>
    <row r="27" spans="1:13" ht="20" customHeight="1">
      <c r="A27" s="3" t="s">
        <v>42</v>
      </c>
      <c r="B27" s="1" t="s">
        <v>30</v>
      </c>
      <c r="C27" s="1" t="s">
        <v>18</v>
      </c>
      <c r="D27" s="4">
        <v>3.3059741688084578</v>
      </c>
      <c r="E27" s="4">
        <f t="shared" si="0"/>
        <v>0.30248270220466389</v>
      </c>
      <c r="F27" s="5">
        <f t="shared" si="1"/>
        <v>0.307419450712204</v>
      </c>
      <c r="G27" s="5">
        <f t="shared" si="2"/>
        <v>1.6320763043831316E-2</v>
      </c>
      <c r="H27" s="4">
        <v>30.553098678588871</v>
      </c>
      <c r="I27" s="4">
        <v>14.30682992935181</v>
      </c>
      <c r="J27" s="4">
        <v>13.88488817214966</v>
      </c>
      <c r="K27" s="4">
        <v>-3.7407161895201182</v>
      </c>
      <c r="L27" s="4">
        <v>-3.1999019851021071</v>
      </c>
      <c r="M27" s="4">
        <v>0.63690219063495634</v>
      </c>
    </row>
    <row r="28" spans="1:13" ht="20" customHeight="1">
      <c r="A28" s="3" t="s">
        <v>43</v>
      </c>
      <c r="B28" s="1" t="s">
        <v>30</v>
      </c>
      <c r="C28" s="1" t="s">
        <v>18</v>
      </c>
      <c r="D28" s="4">
        <v>3.2825927963715449</v>
      </c>
      <c r="E28" s="4">
        <f t="shared" si="0"/>
        <v>0.30463723709665191</v>
      </c>
      <c r="F28" s="5">
        <f t="shared" si="1"/>
        <v>0.31887472686767582</v>
      </c>
      <c r="G28" s="5">
        <f t="shared" si="2"/>
        <v>4.6735881360776624E-2</v>
      </c>
      <c r="H28" s="4">
        <v>29.55667686462402</v>
      </c>
      <c r="I28" s="4">
        <v>14.223227977752691</v>
      </c>
      <c r="J28" s="4">
        <v>13.223026275634769</v>
      </c>
      <c r="K28" s="4">
        <v>-3.061909702416719</v>
      </c>
      <c r="L28" s="4">
        <v>-3.174538449358673</v>
      </c>
      <c r="M28" s="4">
        <v>1.8065753263892681</v>
      </c>
    </row>
    <row r="29" spans="1:13" ht="20" customHeight="1">
      <c r="A29" s="3" t="s">
        <v>44</v>
      </c>
      <c r="B29" s="1" t="s">
        <v>30</v>
      </c>
      <c r="C29" s="1" t="s">
        <v>18</v>
      </c>
      <c r="D29" s="4">
        <v>3.275627076613715</v>
      </c>
      <c r="E29" s="4">
        <f t="shared" si="0"/>
        <v>0.30528505736794137</v>
      </c>
      <c r="F29" s="5">
        <f t="shared" si="1"/>
        <v>0.32723316016197213</v>
      </c>
      <c r="G29" s="5">
        <f t="shared" si="2"/>
        <v>7.189379979242827E-2</v>
      </c>
      <c r="H29" s="4">
        <v>29.29273700714111</v>
      </c>
      <c r="I29" s="4">
        <v>14.054849147796631</v>
      </c>
      <c r="J29" s="4">
        <v>12.70355176925659</v>
      </c>
      <c r="K29" s="4">
        <v>-2.5468638829869898</v>
      </c>
      <c r="L29" s="4">
        <v>-3.3118730478146299</v>
      </c>
      <c r="M29" s="4">
        <v>1.7415425742183519</v>
      </c>
    </row>
    <row r="30" spans="1:13" ht="20" customHeight="1">
      <c r="A30" s="3" t="s">
        <v>45</v>
      </c>
      <c r="B30" s="1" t="s">
        <v>14</v>
      </c>
      <c r="C30" s="1" t="s">
        <v>18</v>
      </c>
      <c r="D30" s="4">
        <v>4.0026763483943339</v>
      </c>
      <c r="E30" s="4">
        <f t="shared" si="0"/>
        <v>0.24983284006990675</v>
      </c>
      <c r="F30" s="5">
        <f t="shared" si="1"/>
        <v>0.25842879896163939</v>
      </c>
      <c r="G30" s="5">
        <f t="shared" si="2"/>
        <v>3.4406841347708238E-2</v>
      </c>
      <c r="H30" s="4">
        <v>33.964949607849121</v>
      </c>
      <c r="I30" s="4">
        <v>18.267929077148441</v>
      </c>
      <c r="J30" s="4">
        <v>16.693437576293949</v>
      </c>
      <c r="K30" s="4">
        <v>-4.5654682903200579</v>
      </c>
      <c r="L30" s="4">
        <v>5.1619079712127123</v>
      </c>
      <c r="M30" s="4">
        <v>0.67373053644213321</v>
      </c>
    </row>
    <row r="31" spans="1:13" ht="20" customHeight="1">
      <c r="A31" s="3" t="s">
        <v>46</v>
      </c>
      <c r="B31" s="1" t="s">
        <v>14</v>
      </c>
      <c r="C31" s="1" t="s">
        <v>18</v>
      </c>
      <c r="D31" s="4">
        <v>4.1277577258120237</v>
      </c>
      <c r="E31" s="4">
        <f t="shared" si="0"/>
        <v>0.24226228049837331</v>
      </c>
      <c r="F31" s="5">
        <f t="shared" si="1"/>
        <v>0.26973140268325796</v>
      </c>
      <c r="G31" s="5">
        <f t="shared" si="2"/>
        <v>0.11338588131993206</v>
      </c>
      <c r="H31" s="4">
        <v>35.834796905517578</v>
      </c>
      <c r="I31" s="4">
        <v>17.51788949966431</v>
      </c>
      <c r="J31" s="4">
        <v>15.815438270568849</v>
      </c>
      <c r="K31" s="4">
        <v>-4.99244595697329</v>
      </c>
      <c r="L31" s="4">
        <v>-5.8443467361691752</v>
      </c>
      <c r="M31" s="4">
        <v>1.3272962185296791</v>
      </c>
    </row>
    <row r="32" spans="1:13" ht="20" customHeight="1">
      <c r="A32" s="3" t="s">
        <v>47</v>
      </c>
      <c r="B32" s="1" t="s">
        <v>14</v>
      </c>
      <c r="C32" s="1" t="s">
        <v>15</v>
      </c>
      <c r="D32" s="4">
        <v>3.6467608001504321</v>
      </c>
      <c r="E32" s="4">
        <f t="shared" si="0"/>
        <v>0.27421595624224904</v>
      </c>
      <c r="F32" s="5">
        <f t="shared" si="1"/>
        <v>0.22480126085281377</v>
      </c>
      <c r="G32" s="5">
        <f t="shared" si="2"/>
        <v>0.18020357409756685</v>
      </c>
      <c r="H32" s="4">
        <v>35.171980857849121</v>
      </c>
      <c r="I32" s="4">
        <v>20.047633171081539</v>
      </c>
      <c r="J32" s="4">
        <v>18.742229461669918</v>
      </c>
      <c r="K32" s="4">
        <v>-3.9609047415816292</v>
      </c>
      <c r="L32" s="4">
        <v>-3.5337760839920769</v>
      </c>
      <c r="M32" s="4">
        <v>-0.16110429885089991</v>
      </c>
    </row>
    <row r="33" spans="1:13" ht="20" customHeight="1">
      <c r="A33" s="3" t="s">
        <v>48</v>
      </c>
      <c r="B33" s="1" t="s">
        <v>14</v>
      </c>
      <c r="C33" s="1" t="s">
        <v>18</v>
      </c>
      <c r="D33" s="4">
        <v>5.2490392161833634</v>
      </c>
      <c r="E33" s="4">
        <f t="shared" si="0"/>
        <v>0.19051105522642894</v>
      </c>
      <c r="F33" s="5">
        <f t="shared" si="1"/>
        <v>0.23075055360794067</v>
      </c>
      <c r="G33" s="5">
        <f t="shared" si="2"/>
        <v>0.21121870504410201</v>
      </c>
      <c r="H33" s="4">
        <v>35.667445182800293</v>
      </c>
      <c r="I33" s="4">
        <v>19.637972831726071</v>
      </c>
      <c r="J33" s="4">
        <v>18.32199859619141</v>
      </c>
      <c r="K33" s="4">
        <v>-5.2650094156001819</v>
      </c>
      <c r="L33" s="4">
        <v>-5.7482459105282722</v>
      </c>
      <c r="M33" s="4">
        <v>-0.50943030881706164</v>
      </c>
    </row>
    <row r="34" spans="1:13" ht="20" customHeight="1">
      <c r="A34" s="3" t="s">
        <v>49</v>
      </c>
      <c r="B34" s="1" t="s">
        <v>14</v>
      </c>
      <c r="C34" s="1" t="s">
        <v>18</v>
      </c>
      <c r="D34" s="4">
        <v>4.5869299820124567</v>
      </c>
      <c r="E34" s="4">
        <f t="shared" ref="E34:E65" si="3">1/D34</f>
        <v>0.21801074006393767</v>
      </c>
      <c r="F34" s="5">
        <f t="shared" ref="F34:F65" si="4">0.5653-0.0013*H34-0.0004*I34-0.0153*J34</f>
        <v>0.22414412765502939</v>
      </c>
      <c r="G34" s="5">
        <f t="shared" ref="G34:G65" si="5">ABS(E34-F34)/E34</f>
        <v>2.8133419432881775E-2</v>
      </c>
      <c r="H34" s="4">
        <v>35.965682983398438</v>
      </c>
      <c r="I34" s="4">
        <v>19.96612548828125</v>
      </c>
      <c r="J34" s="4">
        <v>18.71987152099609</v>
      </c>
      <c r="K34" s="4">
        <v>-4.9541347583637352</v>
      </c>
      <c r="L34" s="4">
        <v>-5.0592393461194636</v>
      </c>
      <c r="M34" s="4">
        <v>-0.54559810206775894</v>
      </c>
    </row>
    <row r="35" spans="1:13" ht="20" customHeight="1">
      <c r="A35" s="3" t="s">
        <v>50</v>
      </c>
      <c r="B35" s="1" t="s">
        <v>14</v>
      </c>
      <c r="C35" s="1" t="s">
        <v>18</v>
      </c>
      <c r="D35" s="4">
        <v>5.0602598764830162</v>
      </c>
      <c r="E35" s="4">
        <f t="shared" si="3"/>
        <v>0.19761830902151617</v>
      </c>
      <c r="F35" s="5">
        <f t="shared" si="4"/>
        <v>0.23494930009841919</v>
      </c>
      <c r="G35" s="5">
        <f t="shared" si="5"/>
        <v>0.18890451629579785</v>
      </c>
      <c r="H35" s="4">
        <v>32.587328910827637</v>
      </c>
      <c r="I35" s="4">
        <v>18.108942031860352</v>
      </c>
      <c r="J35" s="4">
        <v>18.3492546081543</v>
      </c>
      <c r="K35" s="4">
        <v>-4.8271795303494009</v>
      </c>
      <c r="L35" s="4">
        <v>-5.2729152558193881</v>
      </c>
      <c r="M35" s="4">
        <v>0.2170480702912736</v>
      </c>
    </row>
    <row r="36" spans="1:13" ht="20" customHeight="1">
      <c r="A36" s="3" t="s">
        <v>51</v>
      </c>
      <c r="B36" s="1" t="s">
        <v>14</v>
      </c>
      <c r="C36" s="1" t="s">
        <v>18</v>
      </c>
      <c r="D36" s="4">
        <v>4.9942091282510717</v>
      </c>
      <c r="E36" s="4">
        <f t="shared" si="3"/>
        <v>0.20023190345458985</v>
      </c>
      <c r="F36" s="5">
        <f t="shared" si="4"/>
        <v>0.21754974508285518</v>
      </c>
      <c r="G36" s="5">
        <f t="shared" si="5"/>
        <v>8.6488922741489116E-2</v>
      </c>
      <c r="H36" s="4">
        <v>35.650324821472168</v>
      </c>
      <c r="I36" s="4">
        <v>20.15291690826416</v>
      </c>
      <c r="J36" s="4">
        <v>19.172788619995121</v>
      </c>
      <c r="K36" s="4">
        <v>-5.4702871060092866</v>
      </c>
      <c r="L36" s="4">
        <v>-5.1548765019577134</v>
      </c>
      <c r="M36" s="4">
        <v>-0.29444233490073329</v>
      </c>
    </row>
    <row r="37" spans="1:13" ht="20" customHeight="1">
      <c r="A37" s="3" t="s">
        <v>52</v>
      </c>
      <c r="B37" s="1" t="s">
        <v>14</v>
      </c>
      <c r="C37" s="1" t="s">
        <v>15</v>
      </c>
      <c r="D37" s="4">
        <v>3.5631448970802131</v>
      </c>
      <c r="E37" s="4">
        <f t="shared" si="3"/>
        <v>0.28065094990087014</v>
      </c>
      <c r="F37" s="5">
        <f t="shared" si="4"/>
        <v>0.2904928264141084</v>
      </c>
      <c r="G37" s="5">
        <f t="shared" si="5"/>
        <v>3.5068032075838494E-2</v>
      </c>
      <c r="H37" s="4">
        <v>27.641973495483398</v>
      </c>
      <c r="I37" s="4">
        <v>15.43354511260986</v>
      </c>
      <c r="J37" s="4">
        <v>15.209097385406491</v>
      </c>
      <c r="K37" s="4">
        <v>-4.4503323048751797</v>
      </c>
      <c r="L37" s="4">
        <v>-3.40311019497056</v>
      </c>
      <c r="M37" s="4">
        <v>1.1727116193767859</v>
      </c>
    </row>
    <row r="38" spans="1:13" ht="20" customHeight="1">
      <c r="A38" s="3" t="s">
        <v>53</v>
      </c>
      <c r="B38" s="1" t="s">
        <v>14</v>
      </c>
      <c r="C38" s="1" t="s">
        <v>18</v>
      </c>
      <c r="D38" s="4">
        <v>4.4403675731142984</v>
      </c>
      <c r="E38" s="4">
        <f t="shared" si="3"/>
        <v>0.22520658110712205</v>
      </c>
      <c r="F38" s="5">
        <f t="shared" si="4"/>
        <v>0.26847876253128067</v>
      </c>
      <c r="G38" s="5">
        <f t="shared" si="5"/>
        <v>0.19214439121375285</v>
      </c>
      <c r="H38" s="4">
        <v>27.310783386230469</v>
      </c>
      <c r="I38" s="4">
        <v>15.331369400024411</v>
      </c>
      <c r="J38" s="4">
        <v>16.678736686706539</v>
      </c>
      <c r="K38" s="4">
        <v>-4.3481900670593721</v>
      </c>
      <c r="L38" s="4">
        <v>6.8695735512766332</v>
      </c>
      <c r="M38" s="4">
        <v>2.1209123916031039</v>
      </c>
    </row>
    <row r="39" spans="1:13" ht="20" customHeight="1">
      <c r="A39" s="3" t="s">
        <v>54</v>
      </c>
      <c r="B39" s="1" t="s">
        <v>14</v>
      </c>
      <c r="C39" s="1" t="s">
        <v>18</v>
      </c>
      <c r="D39" s="4">
        <v>4.0284644850343669</v>
      </c>
      <c r="E39" s="4">
        <f t="shared" si="3"/>
        <v>0.24823354002870623</v>
      </c>
      <c r="F39" s="5">
        <f t="shared" si="4"/>
        <v>0.26394168519973754</v>
      </c>
      <c r="G39" s="5">
        <f t="shared" si="5"/>
        <v>6.3279704947263718E-2</v>
      </c>
      <c r="H39" s="4">
        <v>30.911627769470211</v>
      </c>
      <c r="I39" s="4">
        <v>16.94328498840332</v>
      </c>
      <c r="J39" s="4">
        <v>16.627182006835941</v>
      </c>
      <c r="K39" s="4">
        <v>-4.7337820768073993</v>
      </c>
      <c r="L39" s="4">
        <v>-4.1367429424316251</v>
      </c>
      <c r="M39" s="4">
        <v>0.26582389078697172</v>
      </c>
    </row>
    <row r="40" spans="1:13" ht="20" customHeight="1">
      <c r="A40" s="3" t="s">
        <v>55</v>
      </c>
      <c r="B40" s="1" t="s">
        <v>14</v>
      </c>
      <c r="C40" s="1" t="s">
        <v>15</v>
      </c>
      <c r="D40" s="4">
        <v>4.4101664654064114</v>
      </c>
      <c r="E40" s="4">
        <f t="shared" si="3"/>
        <v>0.22674881046873288</v>
      </c>
      <c r="F40" s="5">
        <f t="shared" si="4"/>
        <v>0.26333696231842041</v>
      </c>
      <c r="G40" s="5">
        <f t="shared" si="5"/>
        <v>0.1613598403186895</v>
      </c>
      <c r="H40" s="4">
        <v>31.29954624176025</v>
      </c>
      <c r="I40" s="4">
        <v>17.624323844909672</v>
      </c>
      <c r="J40" s="4">
        <v>16.615941047668461</v>
      </c>
      <c r="K40" s="4">
        <v>-4.4934160935242966</v>
      </c>
      <c r="L40" s="4">
        <v>5.6282155771113667</v>
      </c>
      <c r="M40" s="4">
        <v>0.31995078213545219</v>
      </c>
    </row>
    <row r="41" spans="1:13" ht="20" customHeight="1">
      <c r="A41" s="3" t="s">
        <v>56</v>
      </c>
      <c r="B41" s="1" t="s">
        <v>14</v>
      </c>
      <c r="C41" s="1" t="s">
        <v>15</v>
      </c>
      <c r="D41" s="4">
        <v>5.2367243583906093</v>
      </c>
      <c r="E41" s="4">
        <f t="shared" si="3"/>
        <v>0.19095906745554347</v>
      </c>
      <c r="F41" s="5">
        <f t="shared" si="4"/>
        <v>0.22390485229492191</v>
      </c>
      <c r="G41" s="5">
        <f t="shared" si="5"/>
        <v>0.17252799397466909</v>
      </c>
      <c r="H41" s="4">
        <v>33.174638748168952</v>
      </c>
      <c r="I41" s="4">
        <v>19.65926551818848</v>
      </c>
      <c r="J41" s="4">
        <v>18.980680465698239</v>
      </c>
      <c r="K41" s="4">
        <v>-5.1812938628647291</v>
      </c>
      <c r="L41" s="4">
        <v>-5.8926586753249781</v>
      </c>
      <c r="M41" s="4">
        <v>0.68489153122240254</v>
      </c>
    </row>
    <row r="42" spans="1:13" ht="20" customHeight="1">
      <c r="A42" s="3" t="s">
        <v>57</v>
      </c>
      <c r="B42" s="1" t="s">
        <v>14</v>
      </c>
      <c r="C42" s="1" t="s">
        <v>15</v>
      </c>
      <c r="D42" s="4">
        <v>4.0896234264248843</v>
      </c>
      <c r="E42" s="4">
        <f t="shared" si="3"/>
        <v>0.24452129101632028</v>
      </c>
      <c r="F42" s="5">
        <f t="shared" si="4"/>
        <v>0.22674240961074837</v>
      </c>
      <c r="G42" s="5">
        <f t="shared" si="5"/>
        <v>7.2708929891856636E-2</v>
      </c>
      <c r="H42" s="4">
        <v>31.535275459289551</v>
      </c>
      <c r="I42" s="4">
        <v>18.09407806396484</v>
      </c>
      <c r="J42" s="4">
        <v>18.975431442260739</v>
      </c>
      <c r="K42" s="4">
        <v>-5.1376518340278796</v>
      </c>
      <c r="L42" s="4">
        <v>-4.2055444067348802</v>
      </c>
      <c r="M42" s="4">
        <v>-0.14157859839015921</v>
      </c>
    </row>
    <row r="43" spans="1:13" ht="20" customHeight="1">
      <c r="A43" s="3" t="s">
        <v>58</v>
      </c>
      <c r="B43" s="1" t="s">
        <v>14</v>
      </c>
      <c r="C43" s="1" t="s">
        <v>18</v>
      </c>
      <c r="D43" s="4">
        <v>3.6205755617752988</v>
      </c>
      <c r="E43" s="4">
        <f t="shared" si="3"/>
        <v>0.27619917964359897</v>
      </c>
      <c r="F43" s="5">
        <f t="shared" si="4"/>
        <v>0.27714472007751456</v>
      </c>
      <c r="G43" s="5">
        <f t="shared" si="5"/>
        <v>3.4234005877052066E-3</v>
      </c>
      <c r="H43" s="4">
        <v>29.586674690246578</v>
      </c>
      <c r="I43" s="4">
        <v>16.166284084320068</v>
      </c>
      <c r="J43" s="4">
        <v>15.897130012512211</v>
      </c>
      <c r="K43" s="4">
        <v>-4.9338663365057336</v>
      </c>
      <c r="L43" s="4">
        <v>4.6577682317754201</v>
      </c>
      <c r="M43" s="4">
        <v>0.32547727149669858</v>
      </c>
    </row>
    <row r="44" spans="1:13" ht="20" customHeight="1">
      <c r="A44" s="3" t="s">
        <v>59</v>
      </c>
      <c r="B44" s="1" t="s">
        <v>14</v>
      </c>
      <c r="C44" s="1" t="s">
        <v>15</v>
      </c>
      <c r="D44" s="4">
        <v>3.1739124094099811</v>
      </c>
      <c r="E44" s="4">
        <f t="shared" si="3"/>
        <v>0.315068556093486</v>
      </c>
      <c r="F44" s="5">
        <f t="shared" si="4"/>
        <v>0.30737086296081539</v>
      </c>
      <c r="G44" s="5">
        <f t="shared" si="5"/>
        <v>2.4431803757613217E-2</v>
      </c>
      <c r="H44" s="4">
        <v>26.86027908325195</v>
      </c>
      <c r="I44" s="4">
        <v>15.45811557769775</v>
      </c>
      <c r="J44" s="4">
        <v>14.17173385620117</v>
      </c>
      <c r="K44" s="4">
        <v>-5.2217803978591188</v>
      </c>
      <c r="L44" s="4">
        <v>4.4029873924436744</v>
      </c>
      <c r="M44" s="4">
        <v>0.63516462584738798</v>
      </c>
    </row>
    <row r="45" spans="1:13" ht="20" customHeight="1">
      <c r="A45" s="3" t="s">
        <v>60</v>
      </c>
      <c r="B45" s="1" t="s">
        <v>14</v>
      </c>
      <c r="C45" s="1" t="s">
        <v>15</v>
      </c>
      <c r="D45" s="4">
        <v>3.3404519059842541</v>
      </c>
      <c r="E45" s="4">
        <f t="shared" si="3"/>
        <v>0.29936069374582208</v>
      </c>
      <c r="F45" s="5">
        <f t="shared" si="4"/>
        <v>0.3081264105796816</v>
      </c>
      <c r="G45" s="5">
        <f t="shared" si="5"/>
        <v>2.9281455504984281E-2</v>
      </c>
      <c r="H45" s="4">
        <v>26.691726684570309</v>
      </c>
      <c r="I45" s="4">
        <v>15.473842620849609</v>
      </c>
      <c r="J45" s="4">
        <v>14.13626194000244</v>
      </c>
      <c r="K45" s="4">
        <v>-5.3343330263231312</v>
      </c>
      <c r="L45" s="4">
        <v>-3.2024176492663381</v>
      </c>
      <c r="M45" s="4">
        <v>0.55618884066578722</v>
      </c>
    </row>
    <row r="46" spans="1:13" ht="20" customHeight="1">
      <c r="A46" s="3" t="s">
        <v>61</v>
      </c>
      <c r="B46" s="1" t="s">
        <v>14</v>
      </c>
      <c r="C46" s="1" t="s">
        <v>15</v>
      </c>
      <c r="D46" s="4">
        <v>3.1352969880800678</v>
      </c>
      <c r="E46" s="4">
        <f t="shared" si="3"/>
        <v>0.31894905133448315</v>
      </c>
      <c r="F46" s="5">
        <f t="shared" si="4"/>
        <v>0.28135049295425413</v>
      </c>
      <c r="G46" s="5">
        <f t="shared" si="5"/>
        <v>0.11788264684568464</v>
      </c>
      <c r="H46" s="4">
        <v>24.855489730834961</v>
      </c>
      <c r="I46" s="4">
        <v>15.685118198394781</v>
      </c>
      <c r="J46" s="4">
        <v>16.0368185043335</v>
      </c>
      <c r="K46" s="4">
        <v>-4.6688882306379327</v>
      </c>
      <c r="L46" s="4">
        <v>3.7282940513023259</v>
      </c>
      <c r="M46" s="4">
        <v>-0.38818927371496581</v>
      </c>
    </row>
    <row r="47" spans="1:13" ht="20" customHeight="1">
      <c r="A47" s="3" t="s">
        <v>62</v>
      </c>
      <c r="B47" s="1" t="s">
        <v>14</v>
      </c>
      <c r="C47" s="1" t="s">
        <v>15</v>
      </c>
      <c r="D47" s="4">
        <v>3.2559686145834341</v>
      </c>
      <c r="E47" s="4">
        <f t="shared" si="3"/>
        <v>0.30712826761321199</v>
      </c>
      <c r="F47" s="5">
        <f t="shared" si="4"/>
        <v>0.30452950487136843</v>
      </c>
      <c r="G47" s="5">
        <f t="shared" si="5"/>
        <v>8.4614899241914326E-3</v>
      </c>
      <c r="H47" s="4">
        <v>26.429253578186039</v>
      </c>
      <c r="I47" s="4">
        <v>15.347324371337891</v>
      </c>
      <c r="J47" s="4">
        <v>14.396963119506839</v>
      </c>
      <c r="K47" s="4">
        <v>-5.1266922336704406</v>
      </c>
      <c r="L47" s="4">
        <v>-3.0071005027681141</v>
      </c>
      <c r="M47" s="4">
        <v>-3.8559830219947813E-2</v>
      </c>
    </row>
    <row r="48" spans="1:13" ht="20" customHeight="1">
      <c r="A48" s="3" t="s">
        <v>63</v>
      </c>
      <c r="B48" s="1" t="s">
        <v>14</v>
      </c>
      <c r="C48" s="1" t="s">
        <v>18</v>
      </c>
      <c r="D48" s="4">
        <v>3.2771421185942851</v>
      </c>
      <c r="E48" s="4">
        <f t="shared" si="3"/>
        <v>0.30514392229927012</v>
      </c>
      <c r="F48" s="5">
        <f t="shared" si="4"/>
        <v>0.30711730966567996</v>
      </c>
      <c r="G48" s="5">
        <f t="shared" si="5"/>
        <v>6.4670708547635396E-3</v>
      </c>
      <c r="H48" s="4">
        <v>26.7341194152832</v>
      </c>
      <c r="I48" s="4">
        <v>14.83814477920532</v>
      </c>
      <c r="J48" s="4">
        <v>14.21523380279541</v>
      </c>
      <c r="K48" s="4">
        <v>-4.8881260111192066</v>
      </c>
      <c r="L48" s="4">
        <v>-3.1026280352685989</v>
      </c>
      <c r="M48" s="4">
        <v>0.7929521915373039</v>
      </c>
    </row>
    <row r="49" spans="1:13" ht="20" customHeight="1">
      <c r="A49" s="3" t="s">
        <v>64</v>
      </c>
      <c r="B49" s="1" t="s">
        <v>14</v>
      </c>
      <c r="C49" s="1" t="s">
        <v>15</v>
      </c>
      <c r="D49" s="4">
        <v>3.10598463339766</v>
      </c>
      <c r="E49" s="4">
        <f t="shared" si="3"/>
        <v>0.32195909446792481</v>
      </c>
      <c r="F49" s="5">
        <f t="shared" si="4"/>
        <v>0.27833337769508365</v>
      </c>
      <c r="G49" s="5">
        <f t="shared" si="5"/>
        <v>0.13550080591740318</v>
      </c>
      <c r="H49" s="4">
        <v>25.540701866149899</v>
      </c>
      <c r="I49" s="4">
        <v>15.480179309844971</v>
      </c>
      <c r="J49" s="4">
        <v>16.181152820587162</v>
      </c>
      <c r="K49" s="4">
        <v>-3.9705721990104852</v>
      </c>
      <c r="L49" s="4">
        <v>-3.0592205889202231</v>
      </c>
      <c r="M49" s="4">
        <v>1.4515168092213819</v>
      </c>
    </row>
    <row r="50" spans="1:13" ht="20" customHeight="1">
      <c r="A50" s="3" t="s">
        <v>65</v>
      </c>
      <c r="B50" s="1" t="s">
        <v>14</v>
      </c>
      <c r="C50" s="1" t="s">
        <v>18</v>
      </c>
      <c r="D50" s="4">
        <v>5.0437366134113137</v>
      </c>
      <c r="E50" s="4">
        <f t="shared" si="3"/>
        <v>0.19826570589372103</v>
      </c>
      <c r="F50" s="5">
        <f t="shared" si="4"/>
        <v>0.19667107620239266</v>
      </c>
      <c r="G50" s="5">
        <f t="shared" si="5"/>
        <v>8.0428921589856799E-3</v>
      </c>
      <c r="H50" s="4">
        <v>37.776473999023438</v>
      </c>
      <c r="I50" s="4">
        <v>24.03155422210693</v>
      </c>
      <c r="J50" s="4">
        <v>20.255352020263668</v>
      </c>
      <c r="K50" s="4">
        <v>-4.4840028102647036</v>
      </c>
      <c r="L50" s="4">
        <v>7.1453141570897971</v>
      </c>
      <c r="M50" s="4">
        <v>0.24968867398292971</v>
      </c>
    </row>
    <row r="51" spans="1:13" ht="20" customHeight="1">
      <c r="A51" s="3" t="s">
        <v>66</v>
      </c>
      <c r="B51" s="1" t="s">
        <v>14</v>
      </c>
      <c r="C51" s="1" t="s">
        <v>18</v>
      </c>
      <c r="D51" s="4">
        <v>4.5751067897290154</v>
      </c>
      <c r="E51" s="4">
        <f t="shared" si="3"/>
        <v>0.21857413301148981</v>
      </c>
      <c r="F51" s="5">
        <f t="shared" si="4"/>
        <v>0.20392436227798472</v>
      </c>
      <c r="G51" s="5">
        <f t="shared" si="5"/>
        <v>6.7024265550832587E-2</v>
      </c>
      <c r="H51" s="4">
        <v>36.927464485168457</v>
      </c>
      <c r="I51" s="4">
        <v>23.51607513427734</v>
      </c>
      <c r="J51" s="4">
        <v>19.86689567565918</v>
      </c>
      <c r="K51" s="4">
        <v>-5.7448802253963018</v>
      </c>
      <c r="L51" s="4">
        <v>8.2069675194803509</v>
      </c>
      <c r="M51" s="4">
        <v>2.4745384997037569</v>
      </c>
    </row>
    <row r="52" spans="1:13" ht="20" customHeight="1">
      <c r="A52" s="3" t="s">
        <v>67</v>
      </c>
      <c r="B52" s="1" t="s">
        <v>14</v>
      </c>
      <c r="C52" s="1" t="s">
        <v>18</v>
      </c>
      <c r="D52" s="4">
        <v>5.8548714252568397</v>
      </c>
      <c r="E52" s="4">
        <f t="shared" si="3"/>
        <v>0.17079794368945211</v>
      </c>
      <c r="F52" s="5">
        <f t="shared" si="4"/>
        <v>0.17656105661392224</v>
      </c>
      <c r="G52" s="5">
        <f t="shared" si="5"/>
        <v>3.3742285182008523E-2</v>
      </c>
      <c r="H52" s="4">
        <v>36.003768920898438</v>
      </c>
      <c r="I52" s="4">
        <v>24.266739845275879</v>
      </c>
      <c r="J52" s="4">
        <v>21.714205741882321</v>
      </c>
      <c r="K52" s="4">
        <v>-4.4957363415195504</v>
      </c>
      <c r="L52" s="4">
        <v>7.6660469161779456</v>
      </c>
      <c r="M52" s="4">
        <v>-0.43711519473754018</v>
      </c>
    </row>
    <row r="53" spans="1:13" ht="20" customHeight="1">
      <c r="A53" s="3" t="s">
        <v>68</v>
      </c>
      <c r="B53" s="1" t="s">
        <v>14</v>
      </c>
      <c r="C53" s="1" t="s">
        <v>18</v>
      </c>
      <c r="D53" s="4">
        <v>4.8204166044314301</v>
      </c>
      <c r="E53" s="4">
        <f t="shared" si="3"/>
        <v>0.20745094917329254</v>
      </c>
      <c r="F53" s="5">
        <f t="shared" si="4"/>
        <v>0.15555557985305801</v>
      </c>
      <c r="G53" s="5">
        <f t="shared" si="5"/>
        <v>0.25015729996435992</v>
      </c>
      <c r="H53" s="4">
        <v>37.069497108459473</v>
      </c>
      <c r="I53" s="4">
        <v>23.851020812988281</v>
      </c>
      <c r="J53" s="4">
        <v>23.007429122924801</v>
      </c>
      <c r="K53" s="4">
        <v>-4.6651254746452979</v>
      </c>
      <c r="L53" s="4">
        <v>6.3130062588677216</v>
      </c>
      <c r="M53" s="4">
        <v>-2.084663417473553</v>
      </c>
    </row>
    <row r="54" spans="1:13" ht="20" customHeight="1">
      <c r="A54" s="3" t="s">
        <v>69</v>
      </c>
      <c r="B54" s="1" t="s">
        <v>14</v>
      </c>
      <c r="C54" s="1" t="s">
        <v>15</v>
      </c>
      <c r="D54" s="4">
        <v>4.466566646201616</v>
      </c>
      <c r="E54" s="4">
        <f t="shared" si="3"/>
        <v>0.22388561040512034</v>
      </c>
      <c r="F54" s="5">
        <f t="shared" si="4"/>
        <v>0.18515794525146489</v>
      </c>
      <c r="G54" s="5">
        <f t="shared" si="5"/>
        <v>0.172979697460582</v>
      </c>
      <c r="H54" s="4">
        <v>37.498923301696777</v>
      </c>
      <c r="I54" s="4">
        <v>23.108388900756839</v>
      </c>
      <c r="J54" s="4">
        <v>21.055562019348141</v>
      </c>
      <c r="K54" s="4">
        <v>-3.3410559314146</v>
      </c>
      <c r="L54" s="4">
        <v>6.8665705510243278</v>
      </c>
      <c r="M54" s="4">
        <v>-0.6632833187545315</v>
      </c>
    </row>
    <row r="55" spans="1:13" ht="20" customHeight="1">
      <c r="A55" s="3" t="s">
        <v>70</v>
      </c>
      <c r="B55" s="1" t="s">
        <v>14</v>
      </c>
      <c r="C55" s="1" t="s">
        <v>18</v>
      </c>
      <c r="D55" s="4">
        <v>3.9622277601101321</v>
      </c>
      <c r="E55" s="4">
        <f t="shared" si="3"/>
        <v>0.25238327035803831</v>
      </c>
      <c r="F55" s="5">
        <f t="shared" si="4"/>
        <v>0.28382658486366275</v>
      </c>
      <c r="G55" s="5">
        <f t="shared" si="5"/>
        <v>0.12458557360405871</v>
      </c>
      <c r="H55" s="4">
        <v>34.898863792419426</v>
      </c>
      <c r="I55" s="4">
        <v>17.156633377075199</v>
      </c>
      <c r="J55" s="4">
        <v>14.983152866363531</v>
      </c>
      <c r="K55" s="4">
        <v>-3.9742798384595779</v>
      </c>
      <c r="L55" s="4">
        <v>-4.1173659806081586</v>
      </c>
      <c r="M55" s="4">
        <v>0.32106872702104</v>
      </c>
    </row>
    <row r="56" spans="1:13" ht="20" customHeight="1">
      <c r="A56" s="3" t="s">
        <v>71</v>
      </c>
      <c r="B56" s="1" t="s">
        <v>14</v>
      </c>
      <c r="C56" s="1" t="s">
        <v>15</v>
      </c>
      <c r="D56" s="4">
        <v>3.8034714117406678</v>
      </c>
      <c r="E56" s="4">
        <f t="shared" si="3"/>
        <v>0.26291771167601535</v>
      </c>
      <c r="F56" s="5">
        <f t="shared" si="4"/>
        <v>0.27128748736381536</v>
      </c>
      <c r="G56" s="5">
        <f t="shared" si="5"/>
        <v>3.1834202551229415E-2</v>
      </c>
      <c r="H56" s="4">
        <v>34.871084213256843</v>
      </c>
      <c r="I56" s="4">
        <v>17.74590969085693</v>
      </c>
      <c r="J56" s="4">
        <v>15.789656162261959</v>
      </c>
      <c r="K56" s="4">
        <v>-4.131403451987552</v>
      </c>
      <c r="L56" s="4">
        <v>4.9326224486897132</v>
      </c>
      <c r="M56" s="4">
        <v>-0.5061739583235243</v>
      </c>
    </row>
    <row r="57" spans="1:13" ht="20" customHeight="1">
      <c r="A57" s="3" t="s">
        <v>72</v>
      </c>
      <c r="B57" s="1" t="s">
        <v>14</v>
      </c>
      <c r="C57" s="1" t="s">
        <v>15</v>
      </c>
      <c r="D57" s="4">
        <v>3.5044051875321158</v>
      </c>
      <c r="E57" s="4">
        <f t="shared" si="3"/>
        <v>0.2853551306104028</v>
      </c>
      <c r="F57" s="5">
        <f t="shared" si="4"/>
        <v>0.28540168533325205</v>
      </c>
      <c r="G57" s="5">
        <f t="shared" si="5"/>
        <v>1.6314661225705574E-4</v>
      </c>
      <c r="H57" s="4">
        <v>30.26274585723877</v>
      </c>
      <c r="I57" s="4">
        <v>16.390246868133541</v>
      </c>
      <c r="J57" s="4">
        <v>15.29415988922119</v>
      </c>
      <c r="K57" s="4">
        <v>-4.7820756406843481</v>
      </c>
      <c r="L57" s="4">
        <v>4.4393454080441632</v>
      </c>
      <c r="M57" s="4">
        <v>1.1681671719815261</v>
      </c>
    </row>
    <row r="58" spans="1:13" ht="20" customHeight="1">
      <c r="A58" s="3" t="s">
        <v>73</v>
      </c>
      <c r="B58" s="1" t="s">
        <v>14</v>
      </c>
      <c r="C58" s="1" t="s">
        <v>18</v>
      </c>
      <c r="D58" s="4">
        <v>3.395680006591077</v>
      </c>
      <c r="E58" s="4">
        <f t="shared" si="3"/>
        <v>0.29449182433532656</v>
      </c>
      <c r="F58" s="5">
        <f t="shared" si="4"/>
        <v>0.29298178658485408</v>
      </c>
      <c r="G58" s="5">
        <f t="shared" si="5"/>
        <v>5.1276049984771716E-3</v>
      </c>
      <c r="H58" s="4">
        <v>30.66552734375</v>
      </c>
      <c r="I58" s="4">
        <v>16.150158405303959</v>
      </c>
      <c r="J58" s="4">
        <v>14.77078199386597</v>
      </c>
      <c r="K58" s="4">
        <v>-4.5654534020487283</v>
      </c>
      <c r="L58" s="4">
        <v>-3.409278158462993</v>
      </c>
      <c r="M58" s="4">
        <v>0.35924277517774439</v>
      </c>
    </row>
    <row r="59" spans="1:13" ht="20" customHeight="1">
      <c r="A59" s="3" t="s">
        <v>74</v>
      </c>
      <c r="B59" s="1" t="s">
        <v>30</v>
      </c>
      <c r="C59" s="1" t="s">
        <v>18</v>
      </c>
      <c r="D59" s="4">
        <v>3.2440536010651408</v>
      </c>
      <c r="E59" s="4">
        <f t="shared" si="3"/>
        <v>0.30825631230990252</v>
      </c>
      <c r="F59" s="5">
        <f t="shared" si="4"/>
        <v>0.32285052857399005</v>
      </c>
      <c r="G59" s="5">
        <f t="shared" si="5"/>
        <v>4.7344419826236578E-2</v>
      </c>
      <c r="H59" s="4">
        <v>24.17136287689209</v>
      </c>
      <c r="I59" s="4">
        <v>13.49123382568359</v>
      </c>
      <c r="J59" s="4">
        <v>13.439882755279539</v>
      </c>
      <c r="K59" s="4">
        <v>-3.7290313450693549</v>
      </c>
      <c r="L59" s="4">
        <v>-3.4867096219753382</v>
      </c>
      <c r="M59" s="4">
        <v>1.5236264748970829</v>
      </c>
    </row>
    <row r="60" spans="1:13" ht="20" customHeight="1">
      <c r="A60" s="3" t="s">
        <v>75</v>
      </c>
      <c r="B60" s="1" t="s">
        <v>30</v>
      </c>
      <c r="C60" s="1" t="s">
        <v>15</v>
      </c>
      <c r="D60" s="4">
        <v>3.0967298804462078</v>
      </c>
      <c r="E60" s="4">
        <f t="shared" si="3"/>
        <v>0.32292128748921106</v>
      </c>
      <c r="F60" s="5">
        <f t="shared" si="4"/>
        <v>0.33316089315414432</v>
      </c>
      <c r="G60" s="5">
        <f t="shared" si="5"/>
        <v>3.1709292826585085E-2</v>
      </c>
      <c r="H60" s="4">
        <v>23.606172561645511</v>
      </c>
      <c r="I60" s="4">
        <v>13.551295757293699</v>
      </c>
      <c r="J60" s="4">
        <v>12.812455177307131</v>
      </c>
      <c r="K60" s="4">
        <v>-3.4876545014638709</v>
      </c>
      <c r="L60" s="4">
        <v>-3.0240682820371152</v>
      </c>
      <c r="M60" s="4">
        <v>1.2285396846190779</v>
      </c>
    </row>
    <row r="61" spans="1:13" ht="20" customHeight="1">
      <c r="A61" s="3" t="s">
        <v>76</v>
      </c>
      <c r="B61" s="1" t="s">
        <v>30</v>
      </c>
      <c r="C61" s="1" t="s">
        <v>18</v>
      </c>
      <c r="D61" s="4">
        <v>2.9930365829654471</v>
      </c>
      <c r="E61" s="4">
        <f t="shared" si="3"/>
        <v>0.33410884641083066</v>
      </c>
      <c r="F61" s="5">
        <f t="shared" si="4"/>
        <v>0.33389453587532036</v>
      </c>
      <c r="G61" s="5">
        <f t="shared" si="5"/>
        <v>6.4143927289723774E-4</v>
      </c>
      <c r="H61" s="4">
        <v>23.6007833480835</v>
      </c>
      <c r="I61" s="4">
        <v>13.58386707305908</v>
      </c>
      <c r="J61" s="4">
        <v>12.76411104202271</v>
      </c>
      <c r="K61" s="4">
        <v>-3.2880750252315152</v>
      </c>
      <c r="L61" s="4">
        <v>-2.8893933785580752</v>
      </c>
      <c r="M61" s="4">
        <v>1.5996112710829169</v>
      </c>
    </row>
    <row r="62" spans="1:13" ht="20" customHeight="1">
      <c r="A62" s="3" t="s">
        <v>77</v>
      </c>
      <c r="B62" s="1" t="s">
        <v>30</v>
      </c>
      <c r="C62" s="1" t="s">
        <v>15</v>
      </c>
      <c r="D62" s="4">
        <v>3.2797337422321688</v>
      </c>
      <c r="E62" s="4">
        <f t="shared" si="3"/>
        <v>0.30490279961549727</v>
      </c>
      <c r="F62" s="5">
        <f t="shared" si="4"/>
        <v>0.32304610252380372</v>
      </c>
      <c r="G62" s="5">
        <f t="shared" si="5"/>
        <v>5.9505202743911738E-2</v>
      </c>
      <c r="H62" s="4">
        <v>24.090470314025879</v>
      </c>
      <c r="I62" s="4">
        <v>13.57539081573486</v>
      </c>
      <c r="J62" s="4">
        <v>13.43177318572998</v>
      </c>
      <c r="K62" s="4">
        <v>-3.670923011213961</v>
      </c>
      <c r="L62" s="4">
        <v>4.6207027250122596</v>
      </c>
      <c r="M62" s="4">
        <v>0.6456899395918515</v>
      </c>
    </row>
    <row r="63" spans="1:13" ht="20" customHeight="1">
      <c r="A63" s="3" t="s">
        <v>78</v>
      </c>
      <c r="B63" s="1" t="s">
        <v>30</v>
      </c>
      <c r="C63" s="1" t="s">
        <v>15</v>
      </c>
      <c r="D63" s="4">
        <v>3.0285152439647449</v>
      </c>
      <c r="E63" s="4">
        <f t="shared" si="3"/>
        <v>0.3301948048611642</v>
      </c>
      <c r="F63" s="5">
        <f t="shared" si="4"/>
        <v>0.33809257450103758</v>
      </c>
      <c r="G63" s="5">
        <f t="shared" si="5"/>
        <v>2.3918515747678469E-2</v>
      </c>
      <c r="H63" s="4">
        <v>24.060302734375</v>
      </c>
      <c r="I63" s="4">
        <v>13.49003791809082</v>
      </c>
      <c r="J63" s="4">
        <v>12.45313835144043</v>
      </c>
      <c r="K63" s="4">
        <v>-3.608786017529781</v>
      </c>
      <c r="L63" s="4">
        <v>-2.8291819899977662</v>
      </c>
      <c r="M63" s="4">
        <v>1.2842082912613211</v>
      </c>
    </row>
    <row r="64" spans="1:13" ht="20" customHeight="1">
      <c r="A64" s="3" t="s">
        <v>79</v>
      </c>
      <c r="B64" s="1" t="s">
        <v>30</v>
      </c>
      <c r="C64" s="1" t="s">
        <v>18</v>
      </c>
      <c r="D64" s="4">
        <v>3.1447420154758099</v>
      </c>
      <c r="E64" s="4">
        <f t="shared" si="3"/>
        <v>0.31799110867563385</v>
      </c>
      <c r="F64" s="5">
        <f t="shared" si="4"/>
        <v>0.29180455236434932</v>
      </c>
      <c r="G64" s="5">
        <f t="shared" si="5"/>
        <v>8.2349963872719686E-2</v>
      </c>
      <c r="H64" s="4">
        <v>28.69867038726807</v>
      </c>
      <c r="I64" s="4">
        <v>15.08095169067383</v>
      </c>
      <c r="J64" s="4">
        <v>15.04279708862305</v>
      </c>
      <c r="K64" s="4">
        <v>-4.0893409019494857</v>
      </c>
      <c r="L64" s="4">
        <v>-3.5289403050871</v>
      </c>
      <c r="M64" s="4">
        <v>0.73244793474607506</v>
      </c>
    </row>
    <row r="65" spans="1:13" ht="20" customHeight="1">
      <c r="A65" s="3" t="s">
        <v>80</v>
      </c>
      <c r="B65" s="1" t="s">
        <v>30</v>
      </c>
      <c r="C65" s="1" t="s">
        <v>18</v>
      </c>
      <c r="D65" s="4">
        <v>3.8761211720603002</v>
      </c>
      <c r="E65" s="4">
        <f t="shared" si="3"/>
        <v>0.25798987070067869</v>
      </c>
      <c r="F65" s="5">
        <f t="shared" si="4"/>
        <v>0.28954277868270861</v>
      </c>
      <c r="G65" s="5">
        <f t="shared" si="5"/>
        <v>0.12230289466921662</v>
      </c>
      <c r="H65" s="4">
        <v>28.593759536743161</v>
      </c>
      <c r="I65" s="4">
        <v>15.203709602355961</v>
      </c>
      <c r="J65" s="4">
        <v>15.196330070495611</v>
      </c>
      <c r="K65" s="4">
        <v>-3.8599995184137001</v>
      </c>
      <c r="L65" s="4">
        <v>-4.1605798019980744</v>
      </c>
      <c r="M65" s="4">
        <v>1.1110501803195829</v>
      </c>
    </row>
    <row r="66" spans="1:13" ht="20" customHeight="1">
      <c r="A66" s="3" t="s">
        <v>81</v>
      </c>
      <c r="B66" s="1" t="s">
        <v>30</v>
      </c>
      <c r="C66" s="1" t="s">
        <v>15</v>
      </c>
      <c r="D66" s="4">
        <v>3.2450744482772329</v>
      </c>
      <c r="E66" s="4">
        <f t="shared" ref="E66:E97" si="6">1/D66</f>
        <v>0.30815933992851435</v>
      </c>
      <c r="F66" s="5">
        <f t="shared" ref="F66:F101" si="7">0.5653-0.0013*H66-0.0004*I66-0.0153*J66</f>
        <v>0.29916074728965769</v>
      </c>
      <c r="G66" s="5">
        <f t="shared" ref="G66:G97" si="8">ABS(E66-F66)/E66</f>
        <v>2.9201103042809352E-2</v>
      </c>
      <c r="H66" s="4">
        <v>28.627799034118649</v>
      </c>
      <c r="I66" s="4">
        <v>14.744569778442379</v>
      </c>
      <c r="J66" s="4">
        <v>14.576816082000731</v>
      </c>
      <c r="K66" s="4">
        <v>-3.461557797351408</v>
      </c>
      <c r="L66" s="4">
        <v>-3.4862519948876751</v>
      </c>
      <c r="M66" s="4">
        <v>1.2399782472260279</v>
      </c>
    </row>
    <row r="67" spans="1:13" ht="20" customHeight="1">
      <c r="A67" s="3" t="s">
        <v>82</v>
      </c>
      <c r="B67" s="1" t="s">
        <v>30</v>
      </c>
      <c r="C67" s="1" t="s">
        <v>18</v>
      </c>
      <c r="D67" s="4">
        <v>3.4076118630382548</v>
      </c>
      <c r="E67" s="4">
        <f t="shared" si="6"/>
        <v>0.29346065226700785</v>
      </c>
      <c r="F67" s="5">
        <f t="shared" si="7"/>
        <v>0.29526848068237299</v>
      </c>
      <c r="G67" s="5">
        <f t="shared" si="8"/>
        <v>6.1603775545359084E-3</v>
      </c>
      <c r="H67" s="4">
        <v>27.723200798034672</v>
      </c>
      <c r="I67" s="4">
        <v>15.141212940216059</v>
      </c>
      <c r="J67" s="4">
        <v>14.89770412445068</v>
      </c>
      <c r="K67" s="4">
        <v>-3.9511264811159021</v>
      </c>
      <c r="L67" s="4">
        <v>-3.3011668088917232</v>
      </c>
      <c r="M67" s="4">
        <v>1.192057761382959</v>
      </c>
    </row>
    <row r="68" spans="1:13" ht="20" customHeight="1">
      <c r="A68" s="3" t="s">
        <v>83</v>
      </c>
      <c r="B68" s="1" t="s">
        <v>30</v>
      </c>
      <c r="C68" s="1" t="s">
        <v>18</v>
      </c>
      <c r="D68" s="4">
        <v>4.3835502347882151</v>
      </c>
      <c r="E68" s="4">
        <f t="shared" si="6"/>
        <v>0.22812559373995939</v>
      </c>
      <c r="F68" s="5">
        <f t="shared" si="7"/>
        <v>0.23242714738845838</v>
      </c>
      <c r="G68" s="5">
        <f t="shared" si="8"/>
        <v>1.8856076505831851E-2</v>
      </c>
      <c r="H68" s="4">
        <v>32.658446311950676</v>
      </c>
      <c r="I68" s="4">
        <v>18.772185325622559</v>
      </c>
      <c r="J68" s="4">
        <v>18.490718841552731</v>
      </c>
      <c r="K68" s="4">
        <v>-3.833445026035545</v>
      </c>
      <c r="L68" s="4">
        <v>-4.3368085996612704</v>
      </c>
      <c r="M68" s="4">
        <v>2.2755093121807111</v>
      </c>
    </row>
    <row r="69" spans="1:13" ht="20" customHeight="1">
      <c r="A69" s="3" t="s">
        <v>84</v>
      </c>
      <c r="B69" s="1" t="s">
        <v>30</v>
      </c>
      <c r="C69" s="1" t="s">
        <v>18</v>
      </c>
      <c r="D69" s="4">
        <v>4.0980326463570309</v>
      </c>
      <c r="E69" s="4">
        <f t="shared" si="6"/>
        <v>0.24401952992955184</v>
      </c>
      <c r="F69" s="5">
        <f t="shared" si="7"/>
        <v>0.21890269498825082</v>
      </c>
      <c r="G69" s="5">
        <f t="shared" si="8"/>
        <v>0.10292960956261253</v>
      </c>
      <c r="H69" s="4">
        <v>33.962809562683113</v>
      </c>
      <c r="I69" s="4">
        <v>18.89563083648682</v>
      </c>
      <c r="J69" s="4">
        <v>19.260614395141602</v>
      </c>
      <c r="K69" s="4">
        <v>1.8200728396846759</v>
      </c>
      <c r="L69" s="4">
        <v>9.2935931875768727</v>
      </c>
      <c r="M69" s="4">
        <v>2.455983037877965</v>
      </c>
    </row>
    <row r="70" spans="1:13" ht="20" customHeight="1">
      <c r="A70" s="3" t="s">
        <v>85</v>
      </c>
      <c r="B70" s="1" t="s">
        <v>30</v>
      </c>
      <c r="C70" s="1" t="s">
        <v>15</v>
      </c>
      <c r="D70" s="4">
        <v>4.1982803492738574</v>
      </c>
      <c r="E70" s="4">
        <f t="shared" si="6"/>
        <v>0.23819276389509383</v>
      </c>
      <c r="F70" s="5">
        <f t="shared" si="7"/>
        <v>0.22868030080795282</v>
      </c>
      <c r="G70" s="5">
        <f t="shared" si="8"/>
        <v>3.9935986851937055E-2</v>
      </c>
      <c r="H70" s="4">
        <v>32.950841903686523</v>
      </c>
      <c r="I70" s="4">
        <v>18.95333194732666</v>
      </c>
      <c r="J70" s="4">
        <v>18.70603084564209</v>
      </c>
      <c r="K70" s="4">
        <v>-3.688669421044791</v>
      </c>
      <c r="L70" s="4">
        <v>5.9984160572198171</v>
      </c>
      <c r="M70" s="4">
        <v>2.967909623998692</v>
      </c>
    </row>
    <row r="71" spans="1:13" ht="20" customHeight="1">
      <c r="A71" s="3" t="s">
        <v>86</v>
      </c>
      <c r="B71" s="1" t="s">
        <v>30</v>
      </c>
      <c r="C71" s="1" t="s">
        <v>15</v>
      </c>
      <c r="D71" s="4">
        <v>4.1837418507332922</v>
      </c>
      <c r="E71" s="4">
        <f t="shared" si="6"/>
        <v>0.23902048349965191</v>
      </c>
      <c r="F71" s="5">
        <f t="shared" si="7"/>
        <v>0.23571847362518311</v>
      </c>
      <c r="G71" s="5">
        <f t="shared" si="8"/>
        <v>1.3814756903349693E-2</v>
      </c>
      <c r="H71" s="4">
        <v>31.79206562042236</v>
      </c>
      <c r="I71" s="4">
        <v>19.415946960449219</v>
      </c>
      <c r="J71" s="4">
        <v>18.33238315582275</v>
      </c>
      <c r="K71" s="4">
        <v>-3.682404795187697</v>
      </c>
      <c r="L71" s="4">
        <v>5.1777759919690389</v>
      </c>
      <c r="M71" s="4">
        <v>1.63975544454473</v>
      </c>
    </row>
    <row r="72" spans="1:13" ht="20" customHeight="1">
      <c r="A72" s="3" t="s">
        <v>87</v>
      </c>
      <c r="B72" s="1" t="s">
        <v>30</v>
      </c>
      <c r="C72" s="1" t="s">
        <v>18</v>
      </c>
      <c r="D72" s="4">
        <v>4.1787375358027736</v>
      </c>
      <c r="E72" s="4">
        <f t="shared" si="6"/>
        <v>0.23930672635745975</v>
      </c>
      <c r="F72" s="5">
        <f t="shared" si="7"/>
        <v>0.24011360397338866</v>
      </c>
      <c r="G72" s="5">
        <f t="shared" si="8"/>
        <v>3.3717297804811593E-3</v>
      </c>
      <c r="H72" s="4">
        <v>33.411001205444343</v>
      </c>
      <c r="I72" s="4">
        <v>17.98713493347168</v>
      </c>
      <c r="J72" s="4">
        <v>17.944917678833011</v>
      </c>
      <c r="K72" s="4">
        <v>-3.608260742575796</v>
      </c>
      <c r="L72" s="4">
        <v>5.7048530590069291</v>
      </c>
      <c r="M72" s="4">
        <v>2.190873862710792</v>
      </c>
    </row>
    <row r="73" spans="1:13" ht="20" customHeight="1">
      <c r="A73" s="3" t="s">
        <v>88</v>
      </c>
      <c r="B73" s="1" t="s">
        <v>30</v>
      </c>
      <c r="C73" s="1" t="s">
        <v>15</v>
      </c>
      <c r="D73" s="4">
        <v>4.6349892390586209</v>
      </c>
      <c r="E73" s="4">
        <f t="shared" si="6"/>
        <v>0.21575023121371967</v>
      </c>
      <c r="F73" s="5">
        <f t="shared" si="7"/>
        <v>0.25333663339614859</v>
      </c>
      <c r="G73" s="5">
        <f t="shared" si="8"/>
        <v>0.17421256965048751</v>
      </c>
      <c r="H73" s="4">
        <v>31.857316970825199</v>
      </c>
      <c r="I73" s="4">
        <v>17.963712692260739</v>
      </c>
      <c r="J73" s="4">
        <v>17.213292121887211</v>
      </c>
      <c r="K73" s="4">
        <v>-3.1101392565191248</v>
      </c>
      <c r="L73" s="4">
        <v>5.65032966454008</v>
      </c>
      <c r="M73" s="4">
        <v>1.8428517149759771</v>
      </c>
    </row>
    <row r="74" spans="1:13" ht="20" customHeight="1">
      <c r="A74" s="3" t="s">
        <v>89</v>
      </c>
      <c r="B74" s="1" t="s">
        <v>30</v>
      </c>
      <c r="C74" s="1" t="s">
        <v>15</v>
      </c>
      <c r="D74" s="4">
        <v>5.7871127392325983</v>
      </c>
      <c r="E74" s="4">
        <f t="shared" si="6"/>
        <v>0.17279773957412228</v>
      </c>
      <c r="F74" s="5">
        <f t="shared" si="7"/>
        <v>0.2439511587142944</v>
      </c>
      <c r="G74" s="5">
        <f t="shared" si="8"/>
        <v>0.41177285834604666</v>
      </c>
      <c r="H74" s="4">
        <v>31.72319221496582</v>
      </c>
      <c r="I74" s="4">
        <v>18.459029197692871</v>
      </c>
      <c r="J74" s="4">
        <v>17.825168609619141</v>
      </c>
      <c r="K74" s="4">
        <v>-4.1862936426906394</v>
      </c>
      <c r="L74" s="4">
        <v>8.5843271692289633</v>
      </c>
      <c r="M74" s="4">
        <v>2.2446119137298459</v>
      </c>
    </row>
    <row r="75" spans="1:13" ht="20" customHeight="1">
      <c r="A75" s="3" t="s">
        <v>90</v>
      </c>
      <c r="B75" s="1" t="s">
        <v>30</v>
      </c>
      <c r="C75" s="1" t="s">
        <v>18</v>
      </c>
      <c r="D75" s="4">
        <v>3.9255810699854221</v>
      </c>
      <c r="E75" s="4">
        <f t="shared" si="6"/>
        <v>0.25473935760641764</v>
      </c>
      <c r="F75" s="5">
        <f t="shared" si="7"/>
        <v>0.25755118484497075</v>
      </c>
      <c r="G75" s="5">
        <f t="shared" si="8"/>
        <v>1.1038055779733475E-2</v>
      </c>
      <c r="H75" s="4">
        <v>31.33997631072998</v>
      </c>
      <c r="I75" s="4">
        <v>17.48798942565918</v>
      </c>
      <c r="J75" s="4">
        <v>16.99422550201416</v>
      </c>
      <c r="K75" s="4">
        <v>-3.436463311766524</v>
      </c>
      <c r="L75" s="4">
        <v>-4.8840312287965224</v>
      </c>
      <c r="M75" s="4">
        <v>2.223913037535358</v>
      </c>
    </row>
    <row r="76" spans="1:13" ht="20" customHeight="1">
      <c r="A76" s="3" t="s">
        <v>91</v>
      </c>
      <c r="B76" s="1" t="s">
        <v>30</v>
      </c>
      <c r="C76" s="1" t="s">
        <v>15</v>
      </c>
      <c r="D76" s="4">
        <v>4.0682682497290639</v>
      </c>
      <c r="E76" s="4">
        <f t="shared" si="6"/>
        <v>0.24580483355948748</v>
      </c>
      <c r="F76" s="5">
        <f t="shared" si="7"/>
        <v>0.23668365192413332</v>
      </c>
      <c r="G76" s="5">
        <f t="shared" si="8"/>
        <v>3.7107413647123166E-2</v>
      </c>
      <c r="H76" s="4">
        <v>33.587442398071289</v>
      </c>
      <c r="I76" s="4">
        <v>18.383274078369141</v>
      </c>
      <c r="J76" s="4">
        <v>18.14374923706055</v>
      </c>
      <c r="K76" s="4">
        <v>-3.4692872832606878</v>
      </c>
      <c r="L76" s="4">
        <v>-4.7574561399581112</v>
      </c>
      <c r="M76" s="4">
        <v>2.5211627162321681</v>
      </c>
    </row>
    <row r="77" spans="1:13" ht="20" customHeight="1">
      <c r="A77" s="3" t="s">
        <v>92</v>
      </c>
      <c r="B77" s="1" t="s">
        <v>30</v>
      </c>
      <c r="C77" s="1" t="s">
        <v>15</v>
      </c>
      <c r="D77" s="4">
        <v>4.2298135189871608</v>
      </c>
      <c r="E77" s="4">
        <f t="shared" si="6"/>
        <v>0.23641704191239438</v>
      </c>
      <c r="F77" s="5">
        <f t="shared" si="7"/>
        <v>0.25286213998794566</v>
      </c>
      <c r="G77" s="5">
        <f t="shared" si="8"/>
        <v>6.9559698161036548E-2</v>
      </c>
      <c r="H77" s="4">
        <v>32.112296104431152</v>
      </c>
      <c r="I77" s="4">
        <v>17.762748718261719</v>
      </c>
      <c r="J77" s="4">
        <v>17.2278938293457</v>
      </c>
      <c r="K77" s="4">
        <v>-2.735065919995074</v>
      </c>
      <c r="L77" s="4">
        <v>5.1945204070325044</v>
      </c>
      <c r="M77" s="4">
        <v>1.896456171137165</v>
      </c>
    </row>
    <row r="78" spans="1:13" ht="20" customHeight="1">
      <c r="A78" s="3" t="s">
        <v>93</v>
      </c>
      <c r="B78" s="1" t="s">
        <v>30</v>
      </c>
      <c r="C78" s="1" t="s">
        <v>15</v>
      </c>
      <c r="D78" s="4">
        <v>3.7174418658749211</v>
      </c>
      <c r="E78" s="4">
        <f t="shared" si="6"/>
        <v>0.26900218916124041</v>
      </c>
      <c r="F78" s="5">
        <f t="shared" si="7"/>
        <v>0.28940005664825441</v>
      </c>
      <c r="G78" s="5">
        <f t="shared" si="8"/>
        <v>7.58278865707947E-2</v>
      </c>
      <c r="H78" s="4">
        <v>27.323431015014648</v>
      </c>
      <c r="I78" s="4">
        <v>15.09624147415161</v>
      </c>
      <c r="J78" s="4">
        <v>15.316404342651371</v>
      </c>
      <c r="K78" s="4">
        <v>-2.4774266228482489</v>
      </c>
      <c r="L78" s="4">
        <v>-3.6364668038283798</v>
      </c>
      <c r="M78" s="4">
        <v>1.8307252312918481</v>
      </c>
    </row>
    <row r="79" spans="1:13" ht="20" customHeight="1">
      <c r="A79" s="3" t="s">
        <v>94</v>
      </c>
      <c r="B79" s="1" t="s">
        <v>30</v>
      </c>
      <c r="C79" s="1" t="s">
        <v>15</v>
      </c>
      <c r="D79" s="4">
        <v>4.5671831696764293</v>
      </c>
      <c r="E79" s="4">
        <f t="shared" si="6"/>
        <v>0.2189533379434937</v>
      </c>
      <c r="F79" s="5">
        <f t="shared" si="7"/>
        <v>0.29223838424682613</v>
      </c>
      <c r="G79" s="5">
        <f t="shared" si="8"/>
        <v>0.33470623006553774</v>
      </c>
      <c r="H79" s="4">
        <v>27.125062942504879</v>
      </c>
      <c r="I79" s="4">
        <v>14.705215930938721</v>
      </c>
      <c r="J79" s="4">
        <v>15.1579704284668</v>
      </c>
      <c r="K79" s="4">
        <v>-3.8538277948047561</v>
      </c>
      <c r="L79" s="4">
        <v>5.5970069329544128</v>
      </c>
      <c r="M79" s="4">
        <v>0.92305930889827736</v>
      </c>
    </row>
    <row r="80" spans="1:13" ht="20" customHeight="1">
      <c r="A80" s="3" t="s">
        <v>95</v>
      </c>
      <c r="B80" s="1" t="s">
        <v>30</v>
      </c>
      <c r="C80" s="1" t="s">
        <v>18</v>
      </c>
      <c r="D80" s="4">
        <v>3.5750404663408508</v>
      </c>
      <c r="E80" s="4">
        <f t="shared" si="6"/>
        <v>0.27971711353061318</v>
      </c>
      <c r="F80" s="5">
        <f t="shared" si="7"/>
        <v>0.29456768121719368</v>
      </c>
      <c r="G80" s="5">
        <f t="shared" si="8"/>
        <v>5.3091380427659103E-2</v>
      </c>
      <c r="H80" s="4">
        <v>27.216507911682129</v>
      </c>
      <c r="I80" s="4">
        <v>14.39259243011475</v>
      </c>
      <c r="J80" s="4">
        <v>15.00613212585449</v>
      </c>
      <c r="K80" s="4">
        <v>-3.0274973668057061</v>
      </c>
      <c r="L80" s="4">
        <v>-3.489823381983634</v>
      </c>
      <c r="M80" s="4">
        <v>1.016153804679359</v>
      </c>
    </row>
    <row r="81" spans="1:13" ht="20" customHeight="1">
      <c r="A81" s="3" t="s">
        <v>96</v>
      </c>
      <c r="B81" s="1" t="s">
        <v>30</v>
      </c>
      <c r="C81" s="1" t="s">
        <v>18</v>
      </c>
      <c r="D81" s="4">
        <v>4.0394882812957196</v>
      </c>
      <c r="E81" s="4">
        <f t="shared" si="6"/>
        <v>0.24755610868593403</v>
      </c>
      <c r="F81" s="5">
        <f t="shared" si="7"/>
        <v>0.30328200078010559</v>
      </c>
      <c r="G81" s="5">
        <f t="shared" si="8"/>
        <v>0.2251040880791558</v>
      </c>
      <c r="H81" s="4">
        <v>26.515569686889648</v>
      </c>
      <c r="I81" s="4">
        <v>14.666757583618161</v>
      </c>
      <c r="J81" s="4">
        <v>14.48895788192749</v>
      </c>
      <c r="K81" s="4">
        <v>-3.7626032394915621</v>
      </c>
      <c r="L81" s="4">
        <v>-4.1840191217879292</v>
      </c>
      <c r="M81" s="4">
        <v>0.83404966469747688</v>
      </c>
    </row>
    <row r="82" spans="1:13" ht="20" customHeight="1">
      <c r="A82" s="3" t="s">
        <v>97</v>
      </c>
      <c r="B82" s="1" t="s">
        <v>14</v>
      </c>
      <c r="C82" s="1" t="s">
        <v>15</v>
      </c>
      <c r="D82" s="4">
        <v>4.8171783992636303</v>
      </c>
      <c r="E82" s="4">
        <f t="shared" si="6"/>
        <v>0.20759040191512593</v>
      </c>
      <c r="F82" s="5">
        <f t="shared" si="7"/>
        <v>0.25472630290985104</v>
      </c>
      <c r="G82" s="5">
        <f t="shared" si="8"/>
        <v>0.2270620441016189</v>
      </c>
      <c r="H82" s="4">
        <v>30.47704982757568</v>
      </c>
      <c r="I82" s="4">
        <v>18.16712665557861</v>
      </c>
      <c r="J82" s="4">
        <v>17.23442363739014</v>
      </c>
      <c r="K82" s="4">
        <v>-4.7326071169548349</v>
      </c>
      <c r="L82" s="4">
        <v>5.9546186529014573</v>
      </c>
      <c r="M82" s="4">
        <v>0.97344693397693938</v>
      </c>
    </row>
    <row r="83" spans="1:13" ht="20" customHeight="1">
      <c r="A83" s="3" t="s">
        <v>98</v>
      </c>
      <c r="B83" s="1" t="s">
        <v>14</v>
      </c>
      <c r="C83" s="1" t="s">
        <v>15</v>
      </c>
      <c r="D83" s="4">
        <v>5.0550771067327691</v>
      </c>
      <c r="E83" s="4">
        <f t="shared" si="6"/>
        <v>0.19782091922358958</v>
      </c>
      <c r="F83" s="5">
        <f t="shared" si="7"/>
        <v>0.25565405035018923</v>
      </c>
      <c r="G83" s="5">
        <f t="shared" si="8"/>
        <v>0.29235093716874822</v>
      </c>
      <c r="H83" s="4">
        <v>31.68165302276611</v>
      </c>
      <c r="I83" s="4">
        <v>18.081208229064941</v>
      </c>
      <c r="J83" s="4">
        <v>17.07368087768555</v>
      </c>
      <c r="K83" s="4">
        <v>-4.1868533198080602</v>
      </c>
      <c r="L83" s="4">
        <v>6.3221138454635346</v>
      </c>
      <c r="M83" s="4">
        <v>1.013297995502068</v>
      </c>
    </row>
    <row r="84" spans="1:13" ht="20" customHeight="1">
      <c r="A84" s="3" t="s">
        <v>99</v>
      </c>
      <c r="B84" s="1" t="s">
        <v>14</v>
      </c>
      <c r="C84" s="1" t="s">
        <v>15</v>
      </c>
      <c r="D84" s="4">
        <v>4.177251432355388</v>
      </c>
      <c r="E84" s="4">
        <f t="shared" si="6"/>
        <v>0.23939186237495388</v>
      </c>
      <c r="F84" s="5">
        <f t="shared" si="7"/>
        <v>0.26032811841964737</v>
      </c>
      <c r="G84" s="5">
        <f t="shared" si="8"/>
        <v>8.7456005550855004E-2</v>
      </c>
      <c r="H84" s="4">
        <v>31.40178203582764</v>
      </c>
      <c r="I84" s="4">
        <v>18.7275505065918</v>
      </c>
      <c r="J84" s="4">
        <v>16.775068283081051</v>
      </c>
      <c r="K84" s="4">
        <v>-4.0776379383853358</v>
      </c>
      <c r="L84" s="4">
        <v>-4.2949276846949536</v>
      </c>
      <c r="M84" s="4">
        <v>0.86867338981695397</v>
      </c>
    </row>
    <row r="85" spans="1:13" ht="20" customHeight="1">
      <c r="A85" s="3" t="s">
        <v>100</v>
      </c>
      <c r="B85" s="1" t="s">
        <v>14</v>
      </c>
      <c r="C85" s="1" t="s">
        <v>18</v>
      </c>
      <c r="D85" s="4">
        <v>5.0808311843738458</v>
      </c>
      <c r="E85" s="4">
        <f t="shared" si="6"/>
        <v>0.19681819051093674</v>
      </c>
      <c r="F85" s="5">
        <f t="shared" si="7"/>
        <v>0.25178971767425534</v>
      </c>
      <c r="G85" s="5">
        <f t="shared" si="8"/>
        <v>0.27930104946404311</v>
      </c>
      <c r="H85" s="4">
        <v>32.631919860839837</v>
      </c>
      <c r="I85" s="4">
        <v>19.144977569580082</v>
      </c>
      <c r="J85" s="4">
        <v>17.21769905090332</v>
      </c>
      <c r="K85" s="4">
        <v>-5.0942328978748463</v>
      </c>
      <c r="L85" s="4">
        <v>6.5524015685388104</v>
      </c>
      <c r="M85" s="4">
        <v>0.78633616248190208</v>
      </c>
    </row>
    <row r="86" spans="1:13" ht="20" customHeight="1">
      <c r="A86" s="3" t="s">
        <v>101</v>
      </c>
      <c r="B86" s="1" t="s">
        <v>14</v>
      </c>
      <c r="C86" s="1" t="s">
        <v>15</v>
      </c>
      <c r="D86" s="4">
        <v>3.113699105600352</v>
      </c>
      <c r="E86" s="4">
        <f t="shared" si="6"/>
        <v>0.32116141158321398</v>
      </c>
      <c r="F86" s="5">
        <f t="shared" si="7"/>
        <v>0.30485487418174739</v>
      </c>
      <c r="G86" s="5">
        <f t="shared" si="8"/>
        <v>5.077365092238522E-2</v>
      </c>
      <c r="H86" s="4">
        <v>27.569540977478031</v>
      </c>
      <c r="I86" s="4">
        <v>13.760965824127201</v>
      </c>
      <c r="J86" s="4">
        <v>14.32028341293335</v>
      </c>
      <c r="K86" s="4">
        <v>-3.5408382074188278</v>
      </c>
      <c r="L86" s="4">
        <v>-3.0410081530153721</v>
      </c>
      <c r="M86" s="4">
        <v>4.8039727381106768E-2</v>
      </c>
    </row>
    <row r="87" spans="1:13" ht="20" customHeight="1">
      <c r="A87" s="3" t="s">
        <v>102</v>
      </c>
      <c r="B87" s="1" t="s">
        <v>14</v>
      </c>
      <c r="C87" s="1" t="s">
        <v>15</v>
      </c>
      <c r="D87" s="4">
        <v>3.0249201401406518</v>
      </c>
      <c r="E87" s="4">
        <f t="shared" si="6"/>
        <v>0.33058723988445604</v>
      </c>
      <c r="F87" s="5">
        <f t="shared" si="7"/>
        <v>0.31141188688278204</v>
      </c>
      <c r="G87" s="5">
        <f t="shared" si="8"/>
        <v>5.8003911489070185E-2</v>
      </c>
      <c r="H87" s="4">
        <v>27.55491924285889</v>
      </c>
      <c r="I87" s="4">
        <v>13.741684436798099</v>
      </c>
      <c r="J87" s="4">
        <v>13.893466949462891</v>
      </c>
      <c r="K87" s="4">
        <v>-4.0423628616225056</v>
      </c>
      <c r="L87" s="4">
        <v>2.9377507358752899</v>
      </c>
      <c r="M87" s="4">
        <v>0.96001939220861643</v>
      </c>
    </row>
    <row r="88" spans="1:13" ht="20" customHeight="1">
      <c r="A88" s="3" t="s">
        <v>103</v>
      </c>
      <c r="B88" s="1" t="s">
        <v>30</v>
      </c>
      <c r="C88" s="1" t="s">
        <v>15</v>
      </c>
      <c r="D88" s="4">
        <v>2.6757247158618638</v>
      </c>
      <c r="E88" s="4">
        <f t="shared" si="6"/>
        <v>0.37373052394812417</v>
      </c>
      <c r="F88" s="5">
        <f t="shared" si="7"/>
        <v>0.3284295473098755</v>
      </c>
      <c r="G88" s="5">
        <f t="shared" si="8"/>
        <v>0.12121294284364284</v>
      </c>
      <c r="H88" s="4">
        <v>21.649636268615719</v>
      </c>
      <c r="I88" s="4">
        <v>14.159707546234131</v>
      </c>
      <c r="J88" s="4">
        <v>13.27202892303467</v>
      </c>
      <c r="K88" s="4">
        <v>-3.8181106228957908</v>
      </c>
      <c r="L88" s="4">
        <v>-2.8272310121702309</v>
      </c>
      <c r="M88" s="4">
        <v>0.76117981468334106</v>
      </c>
    </row>
    <row r="89" spans="1:13" ht="20" customHeight="1">
      <c r="A89" s="3" t="s">
        <v>104</v>
      </c>
      <c r="B89" s="1" t="s">
        <v>30</v>
      </c>
      <c r="C89" s="1" t="s">
        <v>18</v>
      </c>
      <c r="D89" s="4">
        <v>3.4405045273416919</v>
      </c>
      <c r="E89" s="4">
        <f t="shared" si="6"/>
        <v>0.29065504551817889</v>
      </c>
      <c r="F89" s="5">
        <f t="shared" si="7"/>
        <v>0.32064405608177193</v>
      </c>
      <c r="G89" s="5">
        <f t="shared" si="8"/>
        <v>0.1031773266145397</v>
      </c>
      <c r="H89" s="4">
        <v>21.798076629638668</v>
      </c>
      <c r="I89" s="4">
        <v>13.725000858306879</v>
      </c>
      <c r="J89" s="4">
        <v>13.779636859893801</v>
      </c>
      <c r="K89" s="4">
        <v>-4.8560408536105992</v>
      </c>
      <c r="L89" s="4">
        <v>4.2750336223420087</v>
      </c>
      <c r="M89" s="4">
        <v>-0.26613194213383179</v>
      </c>
    </row>
    <row r="90" spans="1:13" ht="20" customHeight="1">
      <c r="A90" s="3" t="s">
        <v>105</v>
      </c>
      <c r="B90" s="1" t="s">
        <v>30</v>
      </c>
      <c r="C90" s="1" t="s">
        <v>15</v>
      </c>
      <c r="D90" s="4">
        <v>4.0063555271377638</v>
      </c>
      <c r="E90" s="4">
        <f t="shared" si="6"/>
        <v>0.24960340968901079</v>
      </c>
      <c r="F90" s="5">
        <f t="shared" si="7"/>
        <v>0.31707206478118899</v>
      </c>
      <c r="G90" s="5">
        <f t="shared" si="8"/>
        <v>0.27030341923709955</v>
      </c>
      <c r="H90" s="4">
        <v>21.611903190612789</v>
      </c>
      <c r="I90" s="4">
        <v>13.47544622421265</v>
      </c>
      <c r="J90" s="4">
        <v>14.03544330596924</v>
      </c>
      <c r="K90" s="4">
        <v>-5.093341714646435</v>
      </c>
      <c r="L90" s="4">
        <v>5.1359227749353824</v>
      </c>
      <c r="M90" s="4">
        <v>-1.342176786679943</v>
      </c>
    </row>
    <row r="91" spans="1:13" ht="20" customHeight="1">
      <c r="A91" s="3" t="s">
        <v>106</v>
      </c>
      <c r="B91" s="1" t="s">
        <v>30</v>
      </c>
      <c r="C91" s="1" t="s">
        <v>15</v>
      </c>
      <c r="D91" s="4">
        <v>2.902759416735424</v>
      </c>
      <c r="E91" s="4">
        <f t="shared" si="6"/>
        <v>0.34449978673211773</v>
      </c>
      <c r="F91" s="5">
        <f t="shared" si="7"/>
        <v>0.33127639560699451</v>
      </c>
      <c r="G91" s="5">
        <f t="shared" si="8"/>
        <v>3.8384323109627055E-2</v>
      </c>
      <c r="H91" s="4">
        <v>22.152703285217289</v>
      </c>
      <c r="I91" s="4">
        <v>13.79041910171509</v>
      </c>
      <c r="J91" s="4">
        <v>13.05287075042725</v>
      </c>
      <c r="K91" s="4">
        <v>-4.1713403779163016</v>
      </c>
      <c r="L91" s="4">
        <v>3.4921253100977152</v>
      </c>
      <c r="M91" s="4">
        <v>0.99791240559978944</v>
      </c>
    </row>
    <row r="92" spans="1:13" ht="20" customHeight="1">
      <c r="A92" s="3" t="s">
        <v>107</v>
      </c>
      <c r="B92" s="1" t="s">
        <v>30</v>
      </c>
      <c r="C92" s="1" t="s">
        <v>18</v>
      </c>
      <c r="D92" s="4">
        <v>3.0011976048819</v>
      </c>
      <c r="E92" s="4">
        <f t="shared" si="6"/>
        <v>0.33320031922368237</v>
      </c>
      <c r="F92" s="5">
        <f t="shared" si="7"/>
        <v>0.33529053044319151</v>
      </c>
      <c r="G92" s="5">
        <f t="shared" si="8"/>
        <v>6.2731369056881108E-3</v>
      </c>
      <c r="H92" s="4">
        <v>23.07973575592041</v>
      </c>
      <c r="I92" s="4">
        <v>13.646571159362789</v>
      </c>
      <c r="J92" s="4">
        <v>12.71550226211548</v>
      </c>
      <c r="K92" s="4">
        <v>-3.2836213816445579</v>
      </c>
      <c r="L92" s="4">
        <v>3.907631042291341</v>
      </c>
      <c r="M92" s="4">
        <v>-0.1023384065908477</v>
      </c>
    </row>
    <row r="93" spans="1:13" ht="20" customHeight="1">
      <c r="A93" s="3" t="s">
        <v>108</v>
      </c>
      <c r="B93" s="1" t="s">
        <v>30</v>
      </c>
      <c r="C93" s="1" t="s">
        <v>18</v>
      </c>
      <c r="D93" s="4">
        <v>2.6645361068909512</v>
      </c>
      <c r="E93" s="4">
        <f t="shared" si="6"/>
        <v>0.3752998495362202</v>
      </c>
      <c r="F93" s="5">
        <f t="shared" si="7"/>
        <v>0.35602036089897166</v>
      </c>
      <c r="G93" s="5">
        <f t="shared" si="8"/>
        <v>5.1370893596342566E-2</v>
      </c>
      <c r="H93" s="4">
        <v>20.215377330780029</v>
      </c>
      <c r="I93" s="4">
        <v>12.3886833190918</v>
      </c>
      <c r="J93" s="4">
        <v>11.636874198913571</v>
      </c>
      <c r="K93" s="4">
        <v>-3.7170787506229281</v>
      </c>
      <c r="L93" s="4">
        <v>3.3430147642810488</v>
      </c>
      <c r="M93" s="4">
        <v>1.3283391933855599</v>
      </c>
    </row>
    <row r="94" spans="1:13" ht="20" customHeight="1">
      <c r="A94" s="3" t="s">
        <v>109</v>
      </c>
      <c r="B94" s="1" t="s">
        <v>30</v>
      </c>
      <c r="C94" s="1" t="s">
        <v>18</v>
      </c>
      <c r="D94" s="4">
        <v>2.814290730816384</v>
      </c>
      <c r="E94" s="4">
        <f t="shared" si="6"/>
        <v>0.35532931585569155</v>
      </c>
      <c r="F94" s="5">
        <f t="shared" si="7"/>
        <v>0.35429089989662188</v>
      </c>
      <c r="G94" s="5">
        <f t="shared" si="8"/>
        <v>2.9224044083415832E-3</v>
      </c>
      <c r="H94" s="4">
        <v>21.341727733612061</v>
      </c>
      <c r="I94" s="4">
        <v>13.218875885009769</v>
      </c>
      <c r="J94" s="4">
        <v>11.632503509521481</v>
      </c>
      <c r="K94" s="4">
        <v>-4.0998755161420366</v>
      </c>
      <c r="L94" s="4">
        <v>-3.0708647933804349</v>
      </c>
      <c r="M94" s="4">
        <v>1.418500858571033</v>
      </c>
    </row>
    <row r="95" spans="1:13" ht="20" customHeight="1">
      <c r="A95" s="3" t="s">
        <v>110</v>
      </c>
      <c r="B95" s="1" t="s">
        <v>30</v>
      </c>
      <c r="C95" s="1" t="s">
        <v>18</v>
      </c>
      <c r="D95" s="4">
        <v>2.7398358226380921</v>
      </c>
      <c r="E95" s="4">
        <f t="shared" si="6"/>
        <v>0.36498537311521645</v>
      </c>
      <c r="F95" s="5">
        <f t="shared" si="7"/>
        <v>0.35964855794906614</v>
      </c>
      <c r="G95" s="5">
        <f t="shared" si="8"/>
        <v>1.4621997371016882E-2</v>
      </c>
      <c r="H95" s="4">
        <v>20.775399208068851</v>
      </c>
      <c r="I95" s="4">
        <v>12.585073471069339</v>
      </c>
      <c r="J95" s="4">
        <v>11.347019195556641</v>
      </c>
      <c r="K95" s="4">
        <v>-3.3537745649346502</v>
      </c>
      <c r="L95" s="4">
        <v>-2.7080273606152718</v>
      </c>
      <c r="M95" s="4">
        <v>1.2140314319596439</v>
      </c>
    </row>
    <row r="96" spans="1:13" ht="20" customHeight="1">
      <c r="A96" s="3" t="s">
        <v>111</v>
      </c>
      <c r="B96" s="1" t="s">
        <v>30</v>
      </c>
      <c r="C96" s="1" t="s">
        <v>18</v>
      </c>
      <c r="D96" s="4">
        <v>2.7677382837570601</v>
      </c>
      <c r="E96" s="4">
        <f t="shared" si="6"/>
        <v>0.36130583800811983</v>
      </c>
      <c r="F96" s="5">
        <f t="shared" si="7"/>
        <v>0.35860169053077706</v>
      </c>
      <c r="G96" s="5">
        <f t="shared" si="8"/>
        <v>7.4843724979666527E-3</v>
      </c>
      <c r="H96" s="4">
        <v>20.371298313140869</v>
      </c>
      <c r="I96" s="4">
        <v>12.229728221893311</v>
      </c>
      <c r="J96" s="4">
        <v>11.459067344665529</v>
      </c>
      <c r="K96" s="4">
        <v>-3.4868598850503352</v>
      </c>
      <c r="L96" s="4">
        <v>3.2232890537147498</v>
      </c>
      <c r="M96" s="4">
        <v>0.91325495873657025</v>
      </c>
    </row>
    <row r="97" spans="1:13" ht="20" customHeight="1">
      <c r="A97" s="3" t="s">
        <v>112</v>
      </c>
      <c r="B97" s="1" t="s">
        <v>30</v>
      </c>
      <c r="C97" s="1" t="s">
        <v>18</v>
      </c>
      <c r="D97" s="4">
        <v>2.5914558487571879</v>
      </c>
      <c r="E97" s="4">
        <f t="shared" si="6"/>
        <v>0.38588347954281399</v>
      </c>
      <c r="F97" s="5">
        <f t="shared" si="7"/>
        <v>0.36317454447746289</v>
      </c>
      <c r="G97" s="5">
        <f t="shared" si="8"/>
        <v>5.8849202594151301E-2</v>
      </c>
      <c r="H97" s="4">
        <v>21.859588623046879</v>
      </c>
      <c r="I97" s="4">
        <v>12.49915599822998</v>
      </c>
      <c r="J97" s="4">
        <v>11.026688098907471</v>
      </c>
      <c r="K97" s="4">
        <v>-2.9745794954393849</v>
      </c>
      <c r="L97" s="4">
        <v>-2.5087097870065711</v>
      </c>
      <c r="M97" s="4">
        <v>1.689230597096274</v>
      </c>
    </row>
    <row r="98" spans="1:13" ht="20" customHeight="1">
      <c r="A98" s="3" t="s">
        <v>113</v>
      </c>
      <c r="B98" s="1" t="s">
        <v>30</v>
      </c>
      <c r="C98" s="1" t="s">
        <v>15</v>
      </c>
      <c r="D98" s="4">
        <v>2.7164714110796542</v>
      </c>
      <c r="E98" s="4">
        <f t="shared" ref="E98:E101" si="9">1/D98</f>
        <v>0.36812461781166056</v>
      </c>
      <c r="F98" s="5">
        <f t="shared" si="7"/>
        <v>0.35611166019439705</v>
      </c>
      <c r="G98" s="5">
        <f t="shared" ref="G98:G101" si="10">ABS(E98-F98)/E98</f>
        <v>3.2632855929807886E-2</v>
      </c>
      <c r="H98" s="4">
        <v>21.952329158782959</v>
      </c>
      <c r="I98" s="4">
        <v>13.11752080917358</v>
      </c>
      <c r="J98" s="4">
        <v>11.464268207550051</v>
      </c>
      <c r="K98" s="4">
        <v>-3.471226361116388</v>
      </c>
      <c r="L98" s="4">
        <v>-2.5138312788424981</v>
      </c>
      <c r="M98" s="4">
        <v>1.508440378276878</v>
      </c>
    </row>
    <row r="99" spans="1:13" ht="20" customHeight="1">
      <c r="A99" s="3" t="s">
        <v>114</v>
      </c>
      <c r="B99" s="1" t="s">
        <v>30</v>
      </c>
      <c r="C99" s="1" t="s">
        <v>18</v>
      </c>
      <c r="D99" s="4">
        <v>2.768716391613399</v>
      </c>
      <c r="E99" s="4">
        <f t="shared" si="9"/>
        <v>0.36117819904886517</v>
      </c>
      <c r="F99" s="5">
        <f t="shared" si="7"/>
        <v>0.34759729824066171</v>
      </c>
      <c r="G99" s="5">
        <f t="shared" si="10"/>
        <v>3.760166268054857E-2</v>
      </c>
      <c r="H99" s="4">
        <v>21.345674514770511</v>
      </c>
      <c r="I99" s="4">
        <v>12.3951358795166</v>
      </c>
      <c r="J99" s="4">
        <v>12.091194152832029</v>
      </c>
      <c r="K99" s="4">
        <v>-3.0292299621715459</v>
      </c>
      <c r="L99" s="4">
        <v>-2.9278053455320201</v>
      </c>
      <c r="M99" s="4">
        <v>1.2447968793083759</v>
      </c>
    </row>
    <row r="100" spans="1:13" ht="20" customHeight="1">
      <c r="A100" s="3" t="s">
        <v>115</v>
      </c>
      <c r="B100" s="1" t="s">
        <v>30</v>
      </c>
      <c r="C100" s="1" t="s">
        <v>18</v>
      </c>
      <c r="D100" s="4">
        <v>2.9318663264346001</v>
      </c>
      <c r="E100" s="4">
        <f t="shared" si="9"/>
        <v>0.34107967030546221</v>
      </c>
      <c r="F100" s="5">
        <f t="shared" si="7"/>
        <v>0.34167982296943672</v>
      </c>
      <c r="G100" s="5">
        <f t="shared" si="10"/>
        <v>1.7595673862268765E-3</v>
      </c>
      <c r="H100" s="4">
        <v>22.890230178833011</v>
      </c>
      <c r="I100" s="4">
        <v>13.085347175598139</v>
      </c>
      <c r="J100" s="4">
        <v>12.328675746917719</v>
      </c>
      <c r="K100" s="4">
        <v>-2.517838493412778</v>
      </c>
      <c r="L100" s="4">
        <v>-3.104714965485873</v>
      </c>
      <c r="M100" s="4">
        <v>2.2782868245264649</v>
      </c>
    </row>
    <row r="101" spans="1:13" ht="20" customHeight="1">
      <c r="A101" s="3" t="s">
        <v>116</v>
      </c>
      <c r="B101" s="1" t="s">
        <v>30</v>
      </c>
      <c r="C101" s="1" t="s">
        <v>18</v>
      </c>
      <c r="D101" s="4">
        <v>2.8489931772752199</v>
      </c>
      <c r="E101" s="4">
        <f t="shared" si="9"/>
        <v>0.35100119157056076</v>
      </c>
      <c r="F101" s="5">
        <f t="shared" si="7"/>
        <v>0.34724085359573365</v>
      </c>
      <c r="G101" s="5">
        <f t="shared" si="10"/>
        <v>1.0713177234531355E-2</v>
      </c>
      <c r="H101" s="4">
        <v>22.349862098693851</v>
      </c>
      <c r="I101" s="4">
        <v>12.86259937286377</v>
      </c>
      <c r="J101" s="4">
        <v>12.016946792602541</v>
      </c>
      <c r="K101" s="4">
        <v>-3.527340397716201</v>
      </c>
      <c r="L101" s="4">
        <v>-2.6335250972910531</v>
      </c>
      <c r="M101" s="4">
        <v>1.3787211561633259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2"/>
  <sheetViews>
    <sheetView workbookViewId="0">
      <pane xSplit="1" ySplit="1" topLeftCell="N2" activePane="bottomRight" state="frozen"/>
      <selection pane="topRight"/>
      <selection pane="bottomLeft"/>
      <selection pane="bottomRight" activeCell="Q12" sqref="Q12"/>
    </sheetView>
  </sheetViews>
  <sheetFormatPr baseColWidth="10" defaultColWidth="8.83203125" defaultRowHeight="14"/>
  <cols>
    <col min="1" max="1" width="45" customWidth="1"/>
    <col min="2" max="2" width="22" customWidth="1"/>
    <col min="3" max="3" width="32" customWidth="1"/>
    <col min="4" max="4" width="23" customWidth="1"/>
    <col min="5" max="5" width="20" customWidth="1"/>
    <col min="6" max="8" width="21" customWidth="1"/>
    <col min="9" max="11" width="26" customWidth="1"/>
    <col min="12" max="12" width="20" customWidth="1"/>
    <col min="13" max="13" width="21" customWidth="1"/>
    <col min="14" max="14" width="22" customWidth="1"/>
    <col min="15" max="15" width="32" customWidth="1"/>
    <col min="16" max="17" width="30" customWidth="1"/>
    <col min="18" max="18" width="16" customWidth="1"/>
  </cols>
  <sheetData>
    <row r="1" spans="1:18" ht="34" customHeight="1">
      <c r="A1" s="2" t="s">
        <v>0</v>
      </c>
      <c r="B1" s="2" t="s">
        <v>117</v>
      </c>
      <c r="C1" s="2" t="s">
        <v>118</v>
      </c>
      <c r="D1" s="2" t="s">
        <v>3</v>
      </c>
      <c r="E1" s="2" t="s">
        <v>4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119</v>
      </c>
      <c r="M1" s="2" t="s">
        <v>120</v>
      </c>
      <c r="N1" s="2" t="s">
        <v>121</v>
      </c>
      <c r="O1" s="2" t="s">
        <v>123</v>
      </c>
      <c r="P1" s="2" t="s">
        <v>124</v>
      </c>
      <c r="Q1" s="2" t="s">
        <v>125</v>
      </c>
      <c r="R1" s="2" t="s">
        <v>126</v>
      </c>
    </row>
    <row r="2" spans="1:18" ht="20" customHeight="1">
      <c r="A2" s="3" t="s">
        <v>129</v>
      </c>
      <c r="B2" s="1" t="s">
        <v>130</v>
      </c>
      <c r="C2" s="3" t="s">
        <v>131</v>
      </c>
      <c r="D2" s="4">
        <v>2.7029481179046888</v>
      </c>
      <c r="E2" s="4">
        <v>0.36996640570933148</v>
      </c>
      <c r="F2" s="4">
        <v>27.452936172485352</v>
      </c>
      <c r="G2" s="4">
        <v>14.12081670761108</v>
      </c>
      <c r="H2" s="4">
        <v>12.483405590057369</v>
      </c>
      <c r="I2" s="4">
        <v>-3.1365445220466031</v>
      </c>
      <c r="J2" s="4">
        <v>-3.0392485424531031</v>
      </c>
      <c r="K2" s="4">
        <v>1.731111050435127</v>
      </c>
      <c r="L2" s="7">
        <v>94</v>
      </c>
      <c r="M2" s="7">
        <v>83</v>
      </c>
      <c r="N2" s="8">
        <v>5.1569928253377508</v>
      </c>
      <c r="O2" s="4"/>
      <c r="P2" s="7"/>
      <c r="Q2" s="8"/>
      <c r="R2" s="6" t="b">
        <v>1</v>
      </c>
    </row>
    <row r="3" spans="1:18" ht="20" customHeight="1">
      <c r="A3" s="3" t="s">
        <v>132</v>
      </c>
      <c r="B3" s="1" t="s">
        <v>130</v>
      </c>
      <c r="C3" s="3" t="s">
        <v>133</v>
      </c>
      <c r="D3" s="4">
        <v>3.815219355861561</v>
      </c>
      <c r="E3" s="4">
        <v>0.26210812714179521</v>
      </c>
      <c r="F3" s="4">
        <v>31.50770378112793</v>
      </c>
      <c r="G3" s="4">
        <v>16.333955764770511</v>
      </c>
      <c r="H3" s="4">
        <v>14.531673908233641</v>
      </c>
      <c r="I3" s="4">
        <v>-4.8083801486716258</v>
      </c>
      <c r="J3" s="4">
        <v>-4.1360443277300334</v>
      </c>
      <c r="K3" s="4">
        <v>0.83497918835220919</v>
      </c>
      <c r="L3" s="7">
        <v>55</v>
      </c>
      <c r="M3" s="7">
        <v>51</v>
      </c>
      <c r="N3" s="8">
        <v>4.1020797228649588</v>
      </c>
      <c r="O3" s="4">
        <v>2.9511874269018579</v>
      </c>
      <c r="P3" s="7">
        <v>50</v>
      </c>
      <c r="Q3" s="8">
        <v>7.9875757246531158</v>
      </c>
      <c r="R3" s="6" t="b">
        <v>1</v>
      </c>
    </row>
    <row r="4" spans="1:18" ht="20" customHeight="1">
      <c r="A4" s="3" t="s">
        <v>134</v>
      </c>
      <c r="B4" s="1" t="s">
        <v>130</v>
      </c>
      <c r="C4" s="3" t="s">
        <v>133</v>
      </c>
      <c r="D4" s="4">
        <v>3.1442557221532819</v>
      </c>
      <c r="E4" s="4">
        <v>0.3180402894568542</v>
      </c>
      <c r="F4" s="4">
        <v>33.160126686096191</v>
      </c>
      <c r="G4" s="4">
        <v>17.147998332977291</v>
      </c>
      <c r="H4" s="4">
        <v>15.1051812171936</v>
      </c>
      <c r="I4" s="4">
        <v>-3.480817727652493</v>
      </c>
      <c r="J4" s="4">
        <v>-3.5785716887629091</v>
      </c>
      <c r="K4" s="4">
        <v>1.4322080471242351</v>
      </c>
      <c r="L4" s="7">
        <v>51</v>
      </c>
      <c r="M4" s="7">
        <v>41</v>
      </c>
      <c r="N4" s="8">
        <v>2.5370696131479691</v>
      </c>
      <c r="O4" s="4"/>
      <c r="P4" s="7"/>
      <c r="Q4" s="8"/>
      <c r="R4" s="6" t="b">
        <v>1</v>
      </c>
    </row>
    <row r="5" spans="1:18" ht="20" customHeight="1">
      <c r="A5" s="3" t="s">
        <v>135</v>
      </c>
      <c r="B5" s="1" t="s">
        <v>130</v>
      </c>
      <c r="C5" s="3" t="s">
        <v>133</v>
      </c>
      <c r="D5" s="4">
        <v>2.8933935375749922</v>
      </c>
      <c r="E5" s="4">
        <v>0.34561492828871082</v>
      </c>
      <c r="F5" s="4">
        <v>32.075937271118157</v>
      </c>
      <c r="G5" s="4">
        <v>16.203693389892582</v>
      </c>
      <c r="H5" s="4">
        <v>14.45343637466431</v>
      </c>
      <c r="I5" s="4">
        <v>-2.7967459487881969</v>
      </c>
      <c r="J5" s="4">
        <v>3.6214875851670398</v>
      </c>
      <c r="K5" s="4">
        <v>0.37189735952029512</v>
      </c>
      <c r="L5" s="7">
        <v>79</v>
      </c>
      <c r="M5" s="7">
        <v>71</v>
      </c>
      <c r="N5" s="8">
        <v>5.5789369926204122</v>
      </c>
      <c r="O5" s="4">
        <v>3.247672490294248</v>
      </c>
      <c r="P5" s="7">
        <v>45</v>
      </c>
      <c r="Q5" s="8">
        <v>3.3535162537354819</v>
      </c>
      <c r="R5" s="6" t="b">
        <v>1</v>
      </c>
    </row>
    <row r="6" spans="1:18" ht="20" customHeight="1">
      <c r="A6" s="3" t="s">
        <v>136</v>
      </c>
      <c r="B6" s="1" t="s">
        <v>130</v>
      </c>
      <c r="C6" s="3" t="s">
        <v>133</v>
      </c>
      <c r="D6" s="4">
        <v>4.6498597853741046</v>
      </c>
      <c r="E6" s="4">
        <v>0.21506024829941081</v>
      </c>
      <c r="F6" s="4">
        <v>33.283466339111328</v>
      </c>
      <c r="G6" s="4">
        <v>16.722537994384769</v>
      </c>
      <c r="H6" s="4">
        <v>14.015645503997799</v>
      </c>
      <c r="I6" s="4">
        <v>-3.708133190090563</v>
      </c>
      <c r="J6" s="4">
        <v>7.8928028642448718</v>
      </c>
      <c r="K6" s="4">
        <v>2.1602082184275382</v>
      </c>
      <c r="L6" s="7">
        <v>33</v>
      </c>
      <c r="M6" s="7">
        <v>29</v>
      </c>
      <c r="N6" s="8">
        <v>5.009122408768981</v>
      </c>
      <c r="O6" s="4">
        <v>5.1017147305428496</v>
      </c>
      <c r="P6" s="7">
        <v>36</v>
      </c>
      <c r="Q6" s="8">
        <v>2.4418574251912708</v>
      </c>
      <c r="R6" s="6" t="b">
        <v>1</v>
      </c>
    </row>
    <row r="7" spans="1:18" ht="20" customHeight="1">
      <c r="A7" s="3" t="s">
        <v>137</v>
      </c>
      <c r="B7" s="1" t="s">
        <v>130</v>
      </c>
      <c r="C7" s="3" t="s">
        <v>138</v>
      </c>
      <c r="D7" s="4">
        <v>2.5905458138526258</v>
      </c>
      <c r="E7" s="4">
        <v>0.38601903685803302</v>
      </c>
      <c r="F7" s="4">
        <v>31.404366493225101</v>
      </c>
      <c r="G7" s="4">
        <v>16.353132247924801</v>
      </c>
      <c r="H7" s="4">
        <v>13.640913009643549</v>
      </c>
      <c r="I7" s="4">
        <v>-0.73636413071090889</v>
      </c>
      <c r="J7" s="4">
        <v>-2.7421580213138168</v>
      </c>
      <c r="K7" s="4">
        <v>2.175709859193494</v>
      </c>
      <c r="L7" s="7">
        <v>56</v>
      </c>
      <c r="M7" s="7">
        <v>51</v>
      </c>
      <c r="N7" s="8">
        <v>4.1454667790471982</v>
      </c>
      <c r="O7" s="4">
        <v>2.8511882777622559</v>
      </c>
      <c r="P7" s="7">
        <v>32</v>
      </c>
      <c r="Q7" s="8">
        <v>2.5878843729384009</v>
      </c>
      <c r="R7" s="6" t="b">
        <v>1</v>
      </c>
    </row>
    <row r="8" spans="1:18" ht="20" customHeight="1">
      <c r="A8" s="3" t="s">
        <v>139</v>
      </c>
      <c r="B8" s="1" t="s">
        <v>130</v>
      </c>
      <c r="C8" s="3" t="s">
        <v>138</v>
      </c>
      <c r="D8" s="4">
        <v>2.8490455440398792</v>
      </c>
      <c r="E8" s="4">
        <v>0.35099474000756892</v>
      </c>
      <c r="F8" s="4">
        <v>29.23043251037598</v>
      </c>
      <c r="G8" s="4">
        <v>15.056742191314701</v>
      </c>
      <c r="H8" s="4">
        <v>12.776201248168951</v>
      </c>
      <c r="I8" s="4">
        <v>-3.664230788984375</v>
      </c>
      <c r="J8" s="4">
        <v>-2.7182233655962338</v>
      </c>
      <c r="K8" s="4">
        <v>1.632729561372315</v>
      </c>
      <c r="L8" s="7">
        <v>151</v>
      </c>
      <c r="M8" s="7">
        <v>129</v>
      </c>
      <c r="N8" s="8">
        <v>17.588628704697641</v>
      </c>
      <c r="O8" s="4"/>
      <c r="P8" s="7"/>
      <c r="Q8" s="8"/>
      <c r="R8" s="6" t="b">
        <v>1</v>
      </c>
    </row>
    <row r="9" spans="1:18" ht="20" customHeight="1">
      <c r="A9" s="3" t="s">
        <v>140</v>
      </c>
      <c r="B9" s="1" t="s">
        <v>130</v>
      </c>
      <c r="C9" s="3" t="s">
        <v>138</v>
      </c>
      <c r="D9" s="4">
        <v>2.5947128132009118</v>
      </c>
      <c r="E9" s="4">
        <v>0.38539910656484988</v>
      </c>
      <c r="F9" s="4">
        <v>26.86209774017334</v>
      </c>
      <c r="G9" s="4">
        <v>14.077761173248289</v>
      </c>
      <c r="H9" s="4">
        <v>13.60973596572876</v>
      </c>
      <c r="I9" s="4">
        <v>-2.773836890710649</v>
      </c>
      <c r="J9" s="4">
        <v>4.427864268093141</v>
      </c>
      <c r="K9" s="4">
        <v>2.296619792628992</v>
      </c>
      <c r="L9" s="7">
        <v>94</v>
      </c>
      <c r="M9" s="7">
        <v>84</v>
      </c>
      <c r="N9" s="8">
        <v>7.8328260375959404</v>
      </c>
      <c r="O9" s="4">
        <v>2.6774963744794542</v>
      </c>
      <c r="P9" s="7">
        <v>85</v>
      </c>
      <c r="Q9" s="8">
        <v>7.539453223948219</v>
      </c>
      <c r="R9" s="6" t="b">
        <v>1</v>
      </c>
    </row>
    <row r="10" spans="1:18" ht="20" customHeight="1">
      <c r="A10" s="3" t="s">
        <v>141</v>
      </c>
      <c r="B10" s="1" t="s">
        <v>130</v>
      </c>
      <c r="C10" s="3" t="s">
        <v>138</v>
      </c>
      <c r="D10" s="4">
        <v>2.9817567142422989</v>
      </c>
      <c r="E10" s="4">
        <v>0.33537276707503361</v>
      </c>
      <c r="F10" s="4">
        <v>28.526971817016602</v>
      </c>
      <c r="G10" s="4">
        <v>14.467878818511959</v>
      </c>
      <c r="H10" s="4">
        <v>12.343239307403559</v>
      </c>
      <c r="I10" s="4">
        <v>-3.7228512870625128</v>
      </c>
      <c r="J10" s="4">
        <v>4.2323586676139957</v>
      </c>
      <c r="K10" s="4">
        <v>1.122446300770694</v>
      </c>
      <c r="L10" s="7">
        <v>126</v>
      </c>
      <c r="M10" s="7">
        <v>105</v>
      </c>
      <c r="N10" s="8">
        <v>6.1707409716471489</v>
      </c>
      <c r="O10" s="4">
        <v>2.9197681389282359</v>
      </c>
      <c r="P10" s="7">
        <v>97</v>
      </c>
      <c r="Q10" s="8">
        <v>5.3200919896297378</v>
      </c>
      <c r="R10" s="6" t="b">
        <v>1</v>
      </c>
    </row>
    <row r="11" spans="1:18" ht="20" customHeight="1">
      <c r="A11" s="3" t="s">
        <v>142</v>
      </c>
      <c r="B11" s="1" t="s">
        <v>130</v>
      </c>
      <c r="C11" s="3" t="s">
        <v>138</v>
      </c>
      <c r="D11" s="4">
        <v>2.2659549295609032</v>
      </c>
      <c r="E11" s="4">
        <v>0.44131504424661261</v>
      </c>
      <c r="F11" s="4">
        <v>27.77320384979248</v>
      </c>
      <c r="G11" s="4">
        <v>15.78073024749756</v>
      </c>
      <c r="H11" s="4">
        <v>13.79810762405396</v>
      </c>
      <c r="I11" s="4">
        <v>-2.8768106937972329</v>
      </c>
      <c r="J11" s="4">
        <v>4.2545579467419152</v>
      </c>
      <c r="K11" s="4">
        <v>1.6721979520103829</v>
      </c>
      <c r="L11" s="7">
        <v>47</v>
      </c>
      <c r="M11" s="7">
        <v>44</v>
      </c>
      <c r="N11" s="8">
        <v>4.3623315292965028</v>
      </c>
      <c r="O11" s="4"/>
      <c r="P11" s="7"/>
      <c r="Q11" s="8"/>
      <c r="R11" s="6" t="b">
        <v>1</v>
      </c>
    </row>
    <row r="12" spans="1:18" ht="20" customHeight="1">
      <c r="A12" s="3" t="s">
        <v>143</v>
      </c>
      <c r="B12" s="1" t="s">
        <v>130</v>
      </c>
      <c r="C12" s="3" t="s">
        <v>138</v>
      </c>
      <c r="D12" s="4">
        <v>2.7850144265728729</v>
      </c>
      <c r="E12" s="4">
        <v>0.35906456729940889</v>
      </c>
      <c r="F12" s="4">
        <v>30.446477890014648</v>
      </c>
      <c r="G12" s="4">
        <v>15.21294164657593</v>
      </c>
      <c r="H12" s="4">
        <v>12.60205602645874</v>
      </c>
      <c r="I12" s="4">
        <v>2.7687130538201932</v>
      </c>
      <c r="J12" s="4">
        <v>-3.0362685186043992</v>
      </c>
      <c r="K12" s="4">
        <v>0.7909576048849446</v>
      </c>
      <c r="L12" s="7">
        <v>96</v>
      </c>
      <c r="M12" s="7">
        <v>82</v>
      </c>
      <c r="N12" s="8">
        <v>3.8264649285035111</v>
      </c>
      <c r="O12" s="4">
        <v>2.8856129137275079</v>
      </c>
      <c r="P12" s="7">
        <v>106</v>
      </c>
      <c r="Q12" s="8">
        <v>3.9864834585944</v>
      </c>
      <c r="R12" s="6" t="b">
        <v>1</v>
      </c>
    </row>
    <row r="13" spans="1:18" ht="20" customHeight="1">
      <c r="A13" s="3" t="s">
        <v>144</v>
      </c>
      <c r="B13" s="1" t="s">
        <v>130</v>
      </c>
      <c r="C13" s="3" t="s">
        <v>138</v>
      </c>
      <c r="D13" s="4">
        <v>3.1518466822243418</v>
      </c>
      <c r="E13" s="4">
        <v>0.31727431592398192</v>
      </c>
      <c r="F13" s="4">
        <v>30.997161865234379</v>
      </c>
      <c r="G13" s="4">
        <v>15.546000480651861</v>
      </c>
      <c r="H13" s="4">
        <v>13.063051223754879</v>
      </c>
      <c r="I13" s="4">
        <v>1.774807641043421</v>
      </c>
      <c r="J13" s="4">
        <v>4.2224019461685351</v>
      </c>
      <c r="K13" s="4">
        <v>2.1136200838741579</v>
      </c>
      <c r="L13" s="7">
        <v>146</v>
      </c>
      <c r="M13" s="7">
        <v>125</v>
      </c>
      <c r="N13" s="8">
        <v>15.58409461579898</v>
      </c>
      <c r="O13" s="4">
        <v>2.926180955525751</v>
      </c>
      <c r="P13" s="7">
        <v>97</v>
      </c>
      <c r="Q13" s="8">
        <v>6.191524468502994</v>
      </c>
      <c r="R13" s="6" t="b">
        <v>1</v>
      </c>
    </row>
    <row r="14" spans="1:18" ht="20" customHeight="1">
      <c r="A14" s="3" t="s">
        <v>145</v>
      </c>
      <c r="B14" s="1" t="s">
        <v>130</v>
      </c>
      <c r="C14" s="3" t="s">
        <v>146</v>
      </c>
      <c r="D14" s="4">
        <v>2.4257712166504448</v>
      </c>
      <c r="E14" s="4">
        <v>0.41224003036066231</v>
      </c>
      <c r="F14" s="4">
        <v>30.581974029541019</v>
      </c>
      <c r="G14" s="4">
        <v>14.8689751625061</v>
      </c>
      <c r="H14" s="4">
        <v>16.576031684875488</v>
      </c>
      <c r="I14" s="4">
        <v>4.8539291207603998</v>
      </c>
      <c r="J14" s="4">
        <v>1.308709797248347</v>
      </c>
      <c r="K14" s="4">
        <v>1.8113098223263651</v>
      </c>
      <c r="L14" s="7">
        <v>42</v>
      </c>
      <c r="M14" s="7">
        <v>36</v>
      </c>
      <c r="N14" s="8">
        <v>8.5641833144776882</v>
      </c>
      <c r="O14" s="4">
        <v>2.0867905060439051</v>
      </c>
      <c r="P14" s="7">
        <v>19</v>
      </c>
      <c r="Q14" s="8">
        <v>6.5724873753427966</v>
      </c>
      <c r="R14" s="6" t="b">
        <v>1</v>
      </c>
    </row>
    <row r="15" spans="1:18" ht="20" customHeight="1">
      <c r="A15" s="3" t="s">
        <v>147</v>
      </c>
      <c r="B15" s="1" t="s">
        <v>130</v>
      </c>
      <c r="C15" s="3" t="s">
        <v>146</v>
      </c>
      <c r="D15" s="4">
        <v>2.6290562708464358</v>
      </c>
      <c r="E15" s="4">
        <v>0.38036462402459181</v>
      </c>
      <c r="F15" s="4">
        <v>32.834477424621582</v>
      </c>
      <c r="G15" s="4">
        <v>14.992470264434809</v>
      </c>
      <c r="H15" s="4">
        <v>13.213418960571291</v>
      </c>
      <c r="I15" s="4">
        <v>-3.095690116529104</v>
      </c>
      <c r="J15" s="4">
        <v>4.4148679157956687</v>
      </c>
      <c r="K15" s="4">
        <v>0.89939896081479198</v>
      </c>
      <c r="L15" s="7">
        <v>91</v>
      </c>
      <c r="M15" s="7">
        <v>89</v>
      </c>
      <c r="N15" s="8">
        <v>6.993682110609015</v>
      </c>
      <c r="O15" s="4">
        <v>2.5954549416688861</v>
      </c>
      <c r="P15" s="7">
        <v>85</v>
      </c>
      <c r="Q15" s="8">
        <v>6.8621735185805104</v>
      </c>
      <c r="R15" s="6" t="b">
        <v>1</v>
      </c>
    </row>
    <row r="16" spans="1:18" ht="20" customHeight="1">
      <c r="A16" s="3" t="s">
        <v>148</v>
      </c>
      <c r="B16" s="1" t="s">
        <v>130</v>
      </c>
      <c r="C16" s="3" t="s">
        <v>146</v>
      </c>
      <c r="D16" s="4">
        <v>2.6100574212896039</v>
      </c>
      <c r="E16" s="4">
        <v>0.38313333332946742</v>
      </c>
      <c r="F16" s="4">
        <v>32.241045951843262</v>
      </c>
      <c r="G16" s="4">
        <v>14.572859764099119</v>
      </c>
      <c r="H16" s="4">
        <v>13.14558696746826</v>
      </c>
      <c r="I16" s="4">
        <v>-2.9095442907187401</v>
      </c>
      <c r="J16" s="4">
        <v>5.017458622594094</v>
      </c>
      <c r="K16" s="4">
        <v>0.8798148019798796</v>
      </c>
      <c r="L16" s="7">
        <v>68</v>
      </c>
      <c r="M16" s="7">
        <v>64</v>
      </c>
      <c r="N16" s="8">
        <v>7.5403803331045598</v>
      </c>
      <c r="O16" s="4">
        <v>2.3354911289575</v>
      </c>
      <c r="P16" s="7">
        <v>57</v>
      </c>
      <c r="Q16" s="8">
        <v>7.1788458266120054</v>
      </c>
      <c r="R16" s="6" t="b">
        <v>1</v>
      </c>
    </row>
    <row r="17" spans="1:18" ht="20" customHeight="1">
      <c r="A17" s="3" t="s">
        <v>149</v>
      </c>
      <c r="B17" s="1" t="s">
        <v>130</v>
      </c>
      <c r="C17" s="3" t="s">
        <v>146</v>
      </c>
      <c r="D17" s="4">
        <v>2.8688839511905639</v>
      </c>
      <c r="E17" s="4">
        <v>0.34856760224999961</v>
      </c>
      <c r="F17" s="4">
        <v>33.411209106445312</v>
      </c>
      <c r="G17" s="4">
        <v>14.68073606491089</v>
      </c>
      <c r="H17" s="4">
        <v>12.429643154144291</v>
      </c>
      <c r="I17" s="4">
        <v>3.8916887271610672</v>
      </c>
      <c r="J17" s="4">
        <v>4.5050350929974448</v>
      </c>
      <c r="K17" s="4">
        <v>1.0492268009216981</v>
      </c>
      <c r="L17" s="7">
        <v>82</v>
      </c>
      <c r="M17" s="7">
        <v>76</v>
      </c>
      <c r="N17" s="8">
        <v>6.4864589422466352</v>
      </c>
      <c r="O17" s="4">
        <v>2.9132893336215329</v>
      </c>
      <c r="P17" s="7">
        <v>77</v>
      </c>
      <c r="Q17" s="8">
        <v>6.1851175587364837</v>
      </c>
      <c r="R17" s="6" t="b">
        <v>1</v>
      </c>
    </row>
    <row r="18" spans="1:18" ht="20" customHeight="1">
      <c r="A18" s="3" t="s">
        <v>150</v>
      </c>
      <c r="B18" s="1" t="s">
        <v>130</v>
      </c>
      <c r="C18" s="3" t="s">
        <v>151</v>
      </c>
      <c r="D18" s="4">
        <v>3.805647836246683</v>
      </c>
      <c r="E18" s="4">
        <v>0.26276735079782082</v>
      </c>
      <c r="F18" s="4">
        <v>36.598784446716309</v>
      </c>
      <c r="G18" s="4">
        <v>18.774285316467289</v>
      </c>
      <c r="H18" s="4">
        <v>16.59297513961792</v>
      </c>
      <c r="I18" s="4">
        <v>-4.933573382725208</v>
      </c>
      <c r="J18" s="4">
        <v>5.9312670982229028</v>
      </c>
      <c r="K18" s="4">
        <v>0.53106653690619565</v>
      </c>
      <c r="L18" s="7">
        <v>114</v>
      </c>
      <c r="M18" s="7">
        <v>104</v>
      </c>
      <c r="N18" s="8">
        <v>10.979966451366449</v>
      </c>
      <c r="O18" s="4">
        <v>4.1950792159171177</v>
      </c>
      <c r="P18" s="7">
        <v>94</v>
      </c>
      <c r="Q18" s="8">
        <v>8.2684465948039598</v>
      </c>
      <c r="R18" s="6" t="b">
        <v>1</v>
      </c>
    </row>
    <row r="19" spans="1:18" ht="20" customHeight="1">
      <c r="A19" s="3" t="s">
        <v>152</v>
      </c>
      <c r="B19" s="1" t="s">
        <v>130</v>
      </c>
      <c r="C19" s="3" t="s">
        <v>151</v>
      </c>
      <c r="D19" s="4">
        <v>3.6501986092082359</v>
      </c>
      <c r="E19" s="4">
        <v>0.27395769574765949</v>
      </c>
      <c r="F19" s="4">
        <v>37.914496421813958</v>
      </c>
      <c r="G19" s="4">
        <v>19.493206977844238</v>
      </c>
      <c r="H19" s="4">
        <v>16.71068286895752</v>
      </c>
      <c r="I19" s="4">
        <v>-4.5266404804400766</v>
      </c>
      <c r="J19" s="4">
        <v>-3.9312861305970479</v>
      </c>
      <c r="K19" s="4">
        <v>0.43087857605868057</v>
      </c>
      <c r="L19" s="7">
        <v>112</v>
      </c>
      <c r="M19" s="7">
        <v>101</v>
      </c>
      <c r="N19" s="8">
        <v>7.7204377936784114</v>
      </c>
      <c r="O19" s="4">
        <v>3.9302057637400831</v>
      </c>
      <c r="P19" s="7">
        <v>104</v>
      </c>
      <c r="Q19" s="8">
        <v>7.7566030903544814</v>
      </c>
      <c r="R19" s="6" t="b">
        <v>1</v>
      </c>
    </row>
    <row r="20" spans="1:18" ht="20" customHeight="1">
      <c r="A20" s="3" t="s">
        <v>153</v>
      </c>
      <c r="B20" s="1" t="s">
        <v>130</v>
      </c>
      <c r="C20" s="3" t="s">
        <v>154</v>
      </c>
      <c r="D20" s="4">
        <v>5.6454216591778774</v>
      </c>
      <c r="E20" s="4">
        <v>0.17713468725126669</v>
      </c>
      <c r="F20" s="4">
        <v>31.370334625244141</v>
      </c>
      <c r="G20" s="4">
        <v>17.683322429656979</v>
      </c>
      <c r="H20" s="4">
        <v>18.74435997009277</v>
      </c>
      <c r="I20" s="4">
        <v>-4.5141654153881223</v>
      </c>
      <c r="J20" s="4">
        <v>-7.4622070408801786</v>
      </c>
      <c r="K20" s="4">
        <v>3.0858230733655789</v>
      </c>
      <c r="L20" s="7">
        <v>44</v>
      </c>
      <c r="M20" s="7">
        <v>40</v>
      </c>
      <c r="N20" s="8">
        <v>4.8436206842485543</v>
      </c>
      <c r="O20" s="4"/>
      <c r="P20" s="7"/>
      <c r="Q20" s="8"/>
      <c r="R20" s="6" t="b">
        <v>1</v>
      </c>
    </row>
    <row r="21" spans="1:18" ht="20" customHeight="1">
      <c r="A21" s="3" t="s">
        <v>155</v>
      </c>
      <c r="B21" s="1" t="s">
        <v>130</v>
      </c>
      <c r="C21" s="3" t="s">
        <v>156</v>
      </c>
      <c r="D21" s="4">
        <v>2.8645923672978419</v>
      </c>
      <c r="E21" s="4">
        <v>0.34908980817514912</v>
      </c>
      <c r="F21" s="4">
        <v>23.349091529846191</v>
      </c>
      <c r="G21" s="4">
        <v>15.02893733978271</v>
      </c>
      <c r="H21" s="4">
        <v>12.65357875823975</v>
      </c>
      <c r="I21" s="4">
        <v>1.377743714874796</v>
      </c>
      <c r="J21" s="4">
        <v>4.5060576728945883</v>
      </c>
      <c r="K21" s="4">
        <v>1.2111899037370819</v>
      </c>
      <c r="L21" s="7">
        <v>75</v>
      </c>
      <c r="M21" s="7">
        <v>66</v>
      </c>
      <c r="N21" s="8">
        <v>7.5655879457420872</v>
      </c>
      <c r="O21" s="4">
        <v>5.6255306460409589</v>
      </c>
      <c r="P21" s="7">
        <v>34</v>
      </c>
      <c r="Q21" s="8">
        <v>3.0538140401734069</v>
      </c>
      <c r="R21" s="6" t="b">
        <v>1</v>
      </c>
    </row>
    <row r="22" spans="1:18" ht="20" customHeight="1">
      <c r="A22" s="3" t="s">
        <v>157</v>
      </c>
      <c r="B22" s="1" t="s">
        <v>130</v>
      </c>
      <c r="C22" s="3" t="s">
        <v>158</v>
      </c>
      <c r="D22" s="4">
        <v>2.868042660270933</v>
      </c>
      <c r="E22" s="4">
        <v>0.34866984855292688</v>
      </c>
      <c r="F22" s="4">
        <v>24.518086433410641</v>
      </c>
      <c r="G22" s="4">
        <v>14.96967935562134</v>
      </c>
      <c r="H22" s="4">
        <v>12.42033100128174</v>
      </c>
      <c r="I22" s="4">
        <v>-4.0602676086233558</v>
      </c>
      <c r="J22" s="4">
        <v>4.6471129472040724</v>
      </c>
      <c r="K22" s="4">
        <v>0.58867500146577612</v>
      </c>
      <c r="L22" s="7">
        <v>81</v>
      </c>
      <c r="M22" s="7">
        <v>73</v>
      </c>
      <c r="N22" s="8">
        <v>8.550606724210903</v>
      </c>
      <c r="O22" s="4"/>
      <c r="P22" s="7"/>
      <c r="Q22" s="8"/>
      <c r="R22" s="6" t="b">
        <v>1</v>
      </c>
    </row>
    <row r="23" spans="1:18" ht="20" customHeight="1">
      <c r="A23" s="3" t="s">
        <v>159</v>
      </c>
      <c r="B23" s="1" t="s">
        <v>130</v>
      </c>
      <c r="C23" s="3" t="s">
        <v>158</v>
      </c>
      <c r="D23" s="4">
        <v>2.837380513195833</v>
      </c>
      <c r="E23" s="4">
        <v>0.35243774860273069</v>
      </c>
      <c r="F23" s="4">
        <v>26.753426551818851</v>
      </c>
      <c r="G23" s="4">
        <v>15.260190963745121</v>
      </c>
      <c r="H23" s="4">
        <v>12.65590858459473</v>
      </c>
      <c r="I23" s="4">
        <v>-3.1867510869401179</v>
      </c>
      <c r="J23" s="4">
        <v>-3.2056189696810908</v>
      </c>
      <c r="K23" s="4">
        <v>9.2939794670594642E-2</v>
      </c>
      <c r="L23" s="7">
        <v>53</v>
      </c>
      <c r="M23" s="7">
        <v>49</v>
      </c>
      <c r="N23" s="8">
        <v>5.1524191898282616</v>
      </c>
      <c r="O23" s="4">
        <v>3.0997249099991788</v>
      </c>
      <c r="P23" s="7">
        <v>81</v>
      </c>
      <c r="Q23" s="8">
        <v>21.8903332859391</v>
      </c>
      <c r="R23" s="6" t="b">
        <v>1</v>
      </c>
    </row>
    <row r="24" spans="1:18" ht="20" customHeight="1">
      <c r="A24" s="3" t="s">
        <v>160</v>
      </c>
      <c r="B24" s="1" t="s">
        <v>130</v>
      </c>
      <c r="C24" s="3" t="s">
        <v>161</v>
      </c>
      <c r="D24" s="4">
        <v>2.184943692970263</v>
      </c>
      <c r="E24" s="4">
        <v>0.45767769815641191</v>
      </c>
      <c r="F24" s="4">
        <v>29.11089992523193</v>
      </c>
      <c r="G24" s="4">
        <v>16.56497764587402</v>
      </c>
      <c r="H24" s="4">
        <v>13.61943912506104</v>
      </c>
      <c r="I24" s="4">
        <v>-3.9900041815498568</v>
      </c>
      <c r="J24" s="4">
        <v>-2.3712237021465068</v>
      </c>
      <c r="K24" s="4">
        <v>1.050246441118778</v>
      </c>
      <c r="L24" s="7">
        <v>47</v>
      </c>
      <c r="M24" s="7">
        <v>43</v>
      </c>
      <c r="N24" s="8">
        <v>5.465705350107406</v>
      </c>
      <c r="O24" s="4"/>
      <c r="P24" s="7"/>
      <c r="Q24" s="8"/>
      <c r="R24" s="6" t="b">
        <v>1</v>
      </c>
    </row>
    <row r="25" spans="1:18" ht="20" customHeight="1">
      <c r="A25" s="3" t="s">
        <v>162</v>
      </c>
      <c r="B25" s="1" t="s">
        <v>130</v>
      </c>
      <c r="C25" s="3" t="s">
        <v>163</v>
      </c>
      <c r="D25" s="4">
        <v>2.9261064276506321</v>
      </c>
      <c r="E25" s="4">
        <v>0.34175106911709258</v>
      </c>
      <c r="F25" s="4">
        <v>26.377475738525391</v>
      </c>
      <c r="G25" s="4">
        <v>14.21726703643799</v>
      </c>
      <c r="H25" s="4">
        <v>11.945075988769529</v>
      </c>
      <c r="I25" s="4">
        <v>-3.998471860910001</v>
      </c>
      <c r="J25" s="4">
        <v>4.0758577561168243</v>
      </c>
      <c r="K25" s="4">
        <v>0.37215156041737452</v>
      </c>
      <c r="L25" s="7">
        <v>104</v>
      </c>
      <c r="M25" s="7">
        <v>95</v>
      </c>
      <c r="N25" s="8">
        <v>4.7855109432848613</v>
      </c>
      <c r="O25" s="4">
        <v>2.7676018573902872</v>
      </c>
      <c r="P25" s="7">
        <v>99</v>
      </c>
      <c r="Q25" s="8">
        <v>5.8040160198606738</v>
      </c>
      <c r="R25" s="6" t="b">
        <v>1</v>
      </c>
    </row>
    <row r="26" spans="1:18" ht="20" customHeight="1">
      <c r="A26" s="3" t="s">
        <v>164</v>
      </c>
      <c r="B26" s="1" t="s">
        <v>130</v>
      </c>
      <c r="C26" s="3" t="s">
        <v>163</v>
      </c>
      <c r="D26" s="4">
        <v>2.1776569707774209</v>
      </c>
      <c r="E26" s="4">
        <v>0.45920914699572779</v>
      </c>
      <c r="F26" s="4">
        <v>27.042122840881351</v>
      </c>
      <c r="G26" s="4">
        <v>14.11539268493652</v>
      </c>
      <c r="H26" s="4">
        <v>12.007706165313721</v>
      </c>
      <c r="I26" s="4">
        <v>1.4366596674138681</v>
      </c>
      <c r="J26" s="4">
        <v>-2.6142909911246579</v>
      </c>
      <c r="K26" s="4">
        <v>0.12265794301933459</v>
      </c>
      <c r="L26" s="7">
        <v>46</v>
      </c>
      <c r="M26" s="7">
        <v>40</v>
      </c>
      <c r="N26" s="8">
        <v>3.9088865317193848</v>
      </c>
      <c r="O26" s="4">
        <v>2.2382405895585999</v>
      </c>
      <c r="P26" s="7">
        <v>41</v>
      </c>
      <c r="Q26" s="8">
        <v>3.7110126856770851</v>
      </c>
      <c r="R26" s="6" t="b">
        <v>1</v>
      </c>
    </row>
    <row r="27" spans="1:18" ht="20" customHeight="1">
      <c r="A27" s="3" t="s">
        <v>165</v>
      </c>
      <c r="B27" s="1" t="s">
        <v>130</v>
      </c>
      <c r="C27" s="3" t="s">
        <v>163</v>
      </c>
      <c r="D27" s="4">
        <v>2.5878157430864919</v>
      </c>
      <c r="E27" s="4">
        <v>0.38642627577777172</v>
      </c>
      <c r="F27" s="4">
        <v>26.697940826416019</v>
      </c>
      <c r="G27" s="4">
        <v>15.10376405715942</v>
      </c>
      <c r="H27" s="4">
        <v>12.427403450012211</v>
      </c>
      <c r="I27" s="4">
        <v>-3.4403909455916581</v>
      </c>
      <c r="J27" s="4">
        <v>-2.842637997086626</v>
      </c>
      <c r="K27" s="4">
        <v>0.59551622996864195</v>
      </c>
      <c r="L27" s="7">
        <v>98</v>
      </c>
      <c r="M27" s="7">
        <v>85</v>
      </c>
      <c r="N27" s="8">
        <v>6.3407958317443844</v>
      </c>
      <c r="O27" s="4">
        <v>2.703552858593691</v>
      </c>
      <c r="P27" s="7">
        <v>87</v>
      </c>
      <c r="Q27" s="8">
        <v>7.0111455916901537</v>
      </c>
      <c r="R27" s="6" t="b">
        <v>1</v>
      </c>
    </row>
    <row r="28" spans="1:18" ht="20" customHeight="1">
      <c r="A28" s="3" t="s">
        <v>166</v>
      </c>
      <c r="B28" s="1" t="s">
        <v>130</v>
      </c>
      <c r="C28" s="3" t="s">
        <v>167</v>
      </c>
      <c r="D28" s="4">
        <v>3.7095189764951471</v>
      </c>
      <c r="E28" s="4">
        <v>0.26957673119786191</v>
      </c>
      <c r="F28" s="4">
        <v>30.215582847595211</v>
      </c>
      <c r="G28" s="4">
        <v>16.596444606781009</v>
      </c>
      <c r="H28" s="4">
        <v>16.253175258636471</v>
      </c>
      <c r="I28" s="4">
        <v>-1.9959410732798499</v>
      </c>
      <c r="J28" s="4">
        <v>-3.5015528589462588</v>
      </c>
      <c r="K28" s="4">
        <v>2.0077053806002638</v>
      </c>
      <c r="L28" s="7">
        <v>92</v>
      </c>
      <c r="M28" s="7">
        <v>84</v>
      </c>
      <c r="N28" s="8">
        <v>3.7574303181507411</v>
      </c>
      <c r="O28" s="4">
        <v>3.7375423682318569</v>
      </c>
      <c r="P28" s="7">
        <v>77</v>
      </c>
      <c r="Q28" s="8">
        <v>3.1979435401140281</v>
      </c>
      <c r="R28" s="6" t="b">
        <v>1</v>
      </c>
    </row>
    <row r="29" spans="1:18" ht="20" customHeight="1">
      <c r="A29" s="3" t="s">
        <v>168</v>
      </c>
      <c r="B29" s="1" t="s">
        <v>130</v>
      </c>
      <c r="C29" s="3" t="s">
        <v>167</v>
      </c>
      <c r="D29" s="4">
        <v>2.2630334199962538</v>
      </c>
      <c r="E29" s="4">
        <v>0.44188476898483242</v>
      </c>
      <c r="F29" s="4">
        <v>33.251690864562988</v>
      </c>
      <c r="G29" s="4">
        <v>18.2786865234375</v>
      </c>
      <c r="H29" s="4">
        <v>16.882236480712891</v>
      </c>
      <c r="I29" s="4">
        <v>-1.6198431798235611</v>
      </c>
      <c r="J29" s="4">
        <v>3.8054207301464329</v>
      </c>
      <c r="K29" s="4">
        <v>1.7214386684620899</v>
      </c>
      <c r="L29" s="7">
        <v>32</v>
      </c>
      <c r="M29" s="7">
        <v>26</v>
      </c>
      <c r="N29" s="8">
        <v>7.5591237959745499</v>
      </c>
      <c r="O29" s="4">
        <v>5.0949723465749708</v>
      </c>
      <c r="P29" s="7">
        <v>23</v>
      </c>
      <c r="Q29" s="8">
        <v>1.5751576753473211</v>
      </c>
      <c r="R29" s="6" t="b">
        <v>1</v>
      </c>
    </row>
    <row r="30" spans="1:18" ht="20" customHeight="1">
      <c r="A30" s="3" t="s">
        <v>169</v>
      </c>
      <c r="B30" s="1" t="s">
        <v>130</v>
      </c>
      <c r="C30" s="3" t="s">
        <v>170</v>
      </c>
      <c r="D30" s="4">
        <v>3.842641354516009</v>
      </c>
      <c r="E30" s="4">
        <v>0.26023766147854632</v>
      </c>
      <c r="F30" s="4">
        <v>28.585964202880859</v>
      </c>
      <c r="G30" s="4">
        <v>16.247889041900631</v>
      </c>
      <c r="H30" s="4">
        <v>13.373964786529539</v>
      </c>
      <c r="I30" s="4">
        <v>-4.0102514617612366</v>
      </c>
      <c r="J30" s="4">
        <v>-4.421962808759381</v>
      </c>
      <c r="K30" s="4">
        <v>0.67070790387294521</v>
      </c>
      <c r="L30" s="7">
        <v>109</v>
      </c>
      <c r="M30" s="7">
        <v>95</v>
      </c>
      <c r="N30" s="8">
        <v>10.330624293098619</v>
      </c>
      <c r="O30" s="4">
        <v>2.810634831172103</v>
      </c>
      <c r="P30" s="7">
        <v>72</v>
      </c>
      <c r="Q30" s="8">
        <v>3.9081838161571318</v>
      </c>
      <c r="R30" s="6" t="b">
        <v>1</v>
      </c>
    </row>
    <row r="31" spans="1:18" ht="20" customHeight="1">
      <c r="A31" s="3" t="s">
        <v>171</v>
      </c>
      <c r="B31" s="1" t="s">
        <v>130</v>
      </c>
      <c r="C31" s="3" t="s">
        <v>170</v>
      </c>
      <c r="D31" s="4">
        <v>3.3864471736980621</v>
      </c>
      <c r="E31" s="4">
        <v>0.29529472887302771</v>
      </c>
      <c r="F31" s="4">
        <v>28.466839790344238</v>
      </c>
      <c r="G31" s="4">
        <v>15.95134115219116</v>
      </c>
      <c r="H31" s="4">
        <v>13.715691089630131</v>
      </c>
      <c r="I31" s="4">
        <v>-3.5353057526867309</v>
      </c>
      <c r="J31" s="4">
        <v>6.209864715190883</v>
      </c>
      <c r="K31" s="4">
        <v>1.04775751223362</v>
      </c>
      <c r="L31" s="7">
        <v>62</v>
      </c>
      <c r="M31" s="7">
        <v>52</v>
      </c>
      <c r="N31" s="8">
        <v>9.3382722810582415</v>
      </c>
      <c r="O31" s="4">
        <v>3.5908400960105529</v>
      </c>
      <c r="P31" s="7">
        <v>53</v>
      </c>
      <c r="Q31" s="8">
        <v>8.3282138342757612</v>
      </c>
      <c r="R31" s="6" t="b">
        <v>1</v>
      </c>
    </row>
    <row r="32" spans="1:18" ht="20" customHeight="1">
      <c r="A32" s="3" t="s">
        <v>172</v>
      </c>
      <c r="B32" s="1" t="s">
        <v>130</v>
      </c>
      <c r="C32" s="3" t="s">
        <v>173</v>
      </c>
      <c r="D32" s="4">
        <v>3.8474561236925902</v>
      </c>
      <c r="E32" s="4">
        <v>0.25991199583590091</v>
      </c>
      <c r="F32" s="4">
        <v>28.567953109741211</v>
      </c>
      <c r="G32" s="4">
        <v>15.56393432617188</v>
      </c>
      <c r="H32" s="4">
        <v>13.27318143844604</v>
      </c>
      <c r="I32" s="4">
        <v>-5.1833572805137704</v>
      </c>
      <c r="J32" s="4">
        <v>5.7232739951762701</v>
      </c>
      <c r="K32" s="4">
        <v>1.041611224598838</v>
      </c>
      <c r="L32" s="7">
        <v>41</v>
      </c>
      <c r="M32" s="7">
        <v>36</v>
      </c>
      <c r="N32" s="8">
        <v>7.916223622235143</v>
      </c>
      <c r="O32" s="4">
        <v>4.2555960621437503</v>
      </c>
      <c r="P32" s="7">
        <v>34</v>
      </c>
      <c r="Q32" s="8">
        <v>2.8044419533042508</v>
      </c>
      <c r="R32" s="6" t="b">
        <v>1</v>
      </c>
    </row>
    <row r="33" spans="1:18" ht="20" customHeight="1">
      <c r="A33" s="3" t="s">
        <v>174</v>
      </c>
      <c r="B33" s="1" t="s">
        <v>130</v>
      </c>
      <c r="C33" s="3" t="s">
        <v>175</v>
      </c>
      <c r="D33" s="4">
        <v>3.1231773421810591</v>
      </c>
      <c r="E33" s="4">
        <v>0.3201867490821555</v>
      </c>
      <c r="F33" s="4">
        <v>29.572885513305661</v>
      </c>
      <c r="G33" s="4">
        <v>17.398289680480961</v>
      </c>
      <c r="H33" s="4">
        <v>17.128678321838379</v>
      </c>
      <c r="I33" s="4">
        <v>-1.329567526885749</v>
      </c>
      <c r="J33" s="4">
        <v>4.353029250826304</v>
      </c>
      <c r="K33" s="4">
        <v>0.80539873986941957</v>
      </c>
      <c r="L33" s="7">
        <v>70</v>
      </c>
      <c r="M33" s="7">
        <v>63</v>
      </c>
      <c r="N33" s="8">
        <v>6.2014996414846202</v>
      </c>
      <c r="O33" s="4">
        <v>3.1733476513961669</v>
      </c>
      <c r="P33" s="7">
        <v>56</v>
      </c>
      <c r="Q33" s="8">
        <v>3.6375821656646341</v>
      </c>
      <c r="R33" s="6" t="b">
        <v>1</v>
      </c>
    </row>
    <row r="34" spans="1:18" ht="20" customHeight="1">
      <c r="A34" s="3" t="s">
        <v>176</v>
      </c>
      <c r="B34" s="1" t="s">
        <v>130</v>
      </c>
      <c r="C34" s="3" t="s">
        <v>177</v>
      </c>
      <c r="D34" s="4">
        <v>3.1892324323587968</v>
      </c>
      <c r="E34" s="4">
        <v>0.3135550704469624</v>
      </c>
      <c r="F34" s="4">
        <v>37.98007869720459</v>
      </c>
      <c r="G34" s="4">
        <v>16.99123477935791</v>
      </c>
      <c r="H34" s="4">
        <v>14.83643579483032</v>
      </c>
      <c r="I34" s="4">
        <v>-2.657952877102554</v>
      </c>
      <c r="J34" s="4">
        <v>4.7853865128079578</v>
      </c>
      <c r="K34" s="4">
        <v>1.686108696136781</v>
      </c>
      <c r="L34" s="7">
        <v>89</v>
      </c>
      <c r="M34" s="7">
        <v>78</v>
      </c>
      <c r="N34" s="8">
        <v>5.5003608068050758</v>
      </c>
      <c r="O34" s="4">
        <v>3.3781791184193821</v>
      </c>
      <c r="P34" s="7">
        <v>83</v>
      </c>
      <c r="Q34" s="8">
        <v>6.6712474192344384</v>
      </c>
      <c r="R34" s="6" t="b">
        <v>1</v>
      </c>
    </row>
    <row r="35" spans="1:18" ht="20" customHeight="1">
      <c r="A35" s="3" t="s">
        <v>178</v>
      </c>
      <c r="B35" s="1" t="s">
        <v>130</v>
      </c>
      <c r="C35" s="3" t="s">
        <v>179</v>
      </c>
      <c r="D35" s="4">
        <v>3.5655131003210192</v>
      </c>
      <c r="E35" s="4">
        <v>0.28046454237118512</v>
      </c>
      <c r="F35" s="4">
        <v>33.234526634216309</v>
      </c>
      <c r="G35" s="4">
        <v>18.97551441192627</v>
      </c>
      <c r="H35" s="4">
        <v>16.673501491546631</v>
      </c>
      <c r="I35" s="4">
        <v>-2.5305698290184782</v>
      </c>
      <c r="J35" s="4">
        <v>6.0267936701654641</v>
      </c>
      <c r="K35" s="4">
        <v>0.87517535805968572</v>
      </c>
      <c r="L35" s="7">
        <v>75</v>
      </c>
      <c r="M35" s="7">
        <v>75</v>
      </c>
      <c r="N35" s="8">
        <v>10.311008500195809</v>
      </c>
      <c r="O35" s="4"/>
      <c r="P35" s="7"/>
      <c r="Q35" s="8"/>
      <c r="R35" s="6" t="b">
        <v>1</v>
      </c>
    </row>
    <row r="36" spans="1:18" ht="20" customHeight="1">
      <c r="A36" s="3" t="s">
        <v>180</v>
      </c>
      <c r="B36" s="1" t="s">
        <v>130</v>
      </c>
      <c r="C36" s="3" t="s">
        <v>179</v>
      </c>
      <c r="D36" s="4">
        <v>4.0853849754254119</v>
      </c>
      <c r="E36" s="4">
        <v>0.24477497372101881</v>
      </c>
      <c r="F36" s="4">
        <v>32.211722373962402</v>
      </c>
      <c r="G36" s="4">
        <v>18.361344337463379</v>
      </c>
      <c r="H36" s="4">
        <v>17.250130176544189</v>
      </c>
      <c r="I36" s="4">
        <v>-1.9622610617840881</v>
      </c>
      <c r="J36" s="4">
        <v>-4.7903427108285834</v>
      </c>
      <c r="K36" s="4">
        <v>0.45502439643081771</v>
      </c>
      <c r="L36" s="7">
        <v>126</v>
      </c>
      <c r="M36" s="7">
        <v>107</v>
      </c>
      <c r="N36" s="8">
        <v>7.1102705436631091</v>
      </c>
      <c r="O36" s="4">
        <v>3.6402548292198769</v>
      </c>
      <c r="P36" s="7">
        <v>118</v>
      </c>
      <c r="Q36" s="8">
        <v>5.8930192923659979</v>
      </c>
      <c r="R36" s="6" t="b">
        <v>1</v>
      </c>
    </row>
    <row r="37" spans="1:18" ht="20" customHeight="1">
      <c r="A37" s="3" t="s">
        <v>181</v>
      </c>
      <c r="B37" s="1" t="s">
        <v>130</v>
      </c>
      <c r="C37" s="3" t="s">
        <v>179</v>
      </c>
      <c r="D37" s="4">
        <v>3.486935282408294</v>
      </c>
      <c r="E37" s="4">
        <v>0.2867847892230847</v>
      </c>
      <c r="F37" s="4">
        <v>31.36538124084473</v>
      </c>
      <c r="G37" s="4">
        <v>17.744377136230469</v>
      </c>
      <c r="H37" s="4">
        <v>16.691079616546631</v>
      </c>
      <c r="I37" s="4">
        <v>-2.5535831771229711</v>
      </c>
      <c r="J37" s="4">
        <v>5.0739513331883499</v>
      </c>
      <c r="K37" s="4">
        <v>0.59929644035336072</v>
      </c>
      <c r="L37" s="7">
        <v>133</v>
      </c>
      <c r="M37" s="7">
        <v>118</v>
      </c>
      <c r="N37" s="8">
        <v>7.3580079039092867</v>
      </c>
      <c r="O37" s="4">
        <v>3.6314458846858608</v>
      </c>
      <c r="P37" s="7">
        <v>129</v>
      </c>
      <c r="Q37" s="8">
        <v>8.9114104550449991</v>
      </c>
      <c r="R37" s="6" t="b">
        <v>1</v>
      </c>
    </row>
    <row r="38" spans="1:18" ht="20" customHeight="1">
      <c r="A38" s="3" t="s">
        <v>182</v>
      </c>
      <c r="B38" s="1" t="s">
        <v>130</v>
      </c>
      <c r="C38" s="3" t="s">
        <v>179</v>
      </c>
      <c r="D38" s="4">
        <v>3.4557076270086808</v>
      </c>
      <c r="E38" s="4">
        <v>0.28937633270370638</v>
      </c>
      <c r="F38" s="4">
        <v>33.651602745056152</v>
      </c>
      <c r="G38" s="4">
        <v>18.91727256774902</v>
      </c>
      <c r="H38" s="4">
        <v>16.266976833343509</v>
      </c>
      <c r="I38" s="4">
        <v>-1.7977399937745671</v>
      </c>
      <c r="J38" s="4">
        <v>-4.1134239276635842</v>
      </c>
      <c r="K38" s="4">
        <v>0.72466020105508355</v>
      </c>
      <c r="L38" s="7">
        <v>110</v>
      </c>
      <c r="M38" s="7">
        <v>97</v>
      </c>
      <c r="N38" s="8">
        <v>6.5150812404483727</v>
      </c>
      <c r="O38" s="4"/>
      <c r="P38" s="7"/>
      <c r="Q38" s="8"/>
      <c r="R38" s="6" t="b">
        <v>1</v>
      </c>
    </row>
    <row r="39" spans="1:18" ht="20" customHeight="1">
      <c r="A39" s="3" t="s">
        <v>183</v>
      </c>
      <c r="B39" s="1" t="s">
        <v>130</v>
      </c>
      <c r="C39" s="3" t="s">
        <v>184</v>
      </c>
      <c r="D39" s="4">
        <v>3.4760741440500489</v>
      </c>
      <c r="E39" s="4">
        <v>0.287680860234724</v>
      </c>
      <c r="F39" s="4">
        <v>29.381342887878422</v>
      </c>
      <c r="G39" s="4">
        <v>17.08881664276123</v>
      </c>
      <c r="H39" s="4">
        <v>15.737617492675779</v>
      </c>
      <c r="I39" s="4">
        <v>-3.3302084586483538</v>
      </c>
      <c r="J39" s="4">
        <v>5.7699879300724426</v>
      </c>
      <c r="K39" s="4">
        <v>0.38546473599889303</v>
      </c>
      <c r="L39" s="7">
        <v>100</v>
      </c>
      <c r="M39" s="7">
        <v>89</v>
      </c>
      <c r="N39" s="8">
        <v>7.466574058495417</v>
      </c>
      <c r="O39" s="4">
        <v>3.9758623021116661</v>
      </c>
      <c r="P39" s="7">
        <v>89</v>
      </c>
      <c r="Q39" s="8">
        <v>10.425206859963071</v>
      </c>
      <c r="R39" s="6" t="b">
        <v>1</v>
      </c>
    </row>
    <row r="40" spans="1:18" ht="20" customHeight="1">
      <c r="A40" s="3" t="s">
        <v>185</v>
      </c>
      <c r="B40" s="1" t="s">
        <v>130</v>
      </c>
      <c r="C40" s="3" t="s">
        <v>186</v>
      </c>
      <c r="D40" s="4">
        <v>2.5437928604423941</v>
      </c>
      <c r="E40" s="4">
        <v>0.39311376942306869</v>
      </c>
      <c r="F40" s="4">
        <v>38.835964202880859</v>
      </c>
      <c r="G40" s="4">
        <v>16.071990966796879</v>
      </c>
      <c r="H40" s="4">
        <v>17.289369583129879</v>
      </c>
      <c r="I40" s="4">
        <v>-1.3246972253123399</v>
      </c>
      <c r="J40" s="4">
        <v>5.4459993471926493</v>
      </c>
      <c r="K40" s="4">
        <v>0.93934588791546703</v>
      </c>
      <c r="L40" s="7">
        <v>40</v>
      </c>
      <c r="M40" s="7">
        <v>34</v>
      </c>
      <c r="N40" s="8">
        <v>5.7841039191393673</v>
      </c>
      <c r="O40" s="4">
        <v>2.432620947668183</v>
      </c>
      <c r="P40" s="7">
        <v>31</v>
      </c>
      <c r="Q40" s="8">
        <v>4.1157537456045734</v>
      </c>
      <c r="R40" s="6" t="b">
        <v>1</v>
      </c>
    </row>
    <row r="41" spans="1:18" ht="20" customHeight="1">
      <c r="A41" s="3" t="s">
        <v>187</v>
      </c>
      <c r="B41" s="1" t="s">
        <v>130</v>
      </c>
      <c r="C41" s="3" t="s">
        <v>186</v>
      </c>
      <c r="D41" s="4">
        <v>3.6154685011544911</v>
      </c>
      <c r="E41" s="4">
        <v>0.27658932713165119</v>
      </c>
      <c r="F41" s="4">
        <v>41.587742805480957</v>
      </c>
      <c r="G41" s="4">
        <v>16.334498405456539</v>
      </c>
      <c r="H41" s="4">
        <v>13.52271699905396</v>
      </c>
      <c r="I41" s="4">
        <v>7.5961074536804812E-2</v>
      </c>
      <c r="J41" s="4">
        <v>5.9458055828345842</v>
      </c>
      <c r="K41" s="4">
        <v>1.1703162887961209</v>
      </c>
      <c r="L41" s="7">
        <v>35</v>
      </c>
      <c r="M41" s="7">
        <v>29</v>
      </c>
      <c r="N41" s="8">
        <v>2.856251279186675</v>
      </c>
      <c r="O41" s="4">
        <v>2.9731956119840719</v>
      </c>
      <c r="P41" s="7">
        <v>35</v>
      </c>
      <c r="Q41" s="8">
        <v>3.7979426806354968</v>
      </c>
      <c r="R41" s="6" t="b">
        <v>1</v>
      </c>
    </row>
    <row r="42" spans="1:18" ht="20" customHeight="1">
      <c r="A42" s="3" t="s">
        <v>188</v>
      </c>
      <c r="B42" s="1" t="s">
        <v>130</v>
      </c>
      <c r="C42" s="3" t="s">
        <v>186</v>
      </c>
      <c r="D42" s="4">
        <v>3.1000948674659932</v>
      </c>
      <c r="E42" s="4">
        <v>0.32257077371873999</v>
      </c>
      <c r="F42" s="4">
        <v>40.695210456848137</v>
      </c>
      <c r="G42" s="4">
        <v>16.418434619903561</v>
      </c>
      <c r="H42" s="4">
        <v>16.325121402740479</v>
      </c>
      <c r="I42" s="4">
        <v>-0.96766668154537072</v>
      </c>
      <c r="J42" s="4">
        <v>5.3230086720010412</v>
      </c>
      <c r="K42" s="4">
        <v>1.367816672437884</v>
      </c>
      <c r="L42" s="7">
        <v>44</v>
      </c>
      <c r="M42" s="7">
        <v>37</v>
      </c>
      <c r="N42" s="8">
        <v>2.7385853500311792</v>
      </c>
      <c r="O42" s="4">
        <v>2.714032462747634</v>
      </c>
      <c r="P42" s="7">
        <v>40</v>
      </c>
      <c r="Q42" s="8">
        <v>3.8581150767407508</v>
      </c>
      <c r="R42" s="6" t="b">
        <v>1</v>
      </c>
    </row>
    <row r="43" spans="1:18" ht="20" customHeight="1">
      <c r="A43" s="3" t="s">
        <v>189</v>
      </c>
      <c r="B43" s="1" t="s">
        <v>130</v>
      </c>
      <c r="C43" s="3" t="s">
        <v>186</v>
      </c>
      <c r="D43" s="4">
        <v>3.9948062381795388</v>
      </c>
      <c r="E43" s="4">
        <v>0.25032503214866991</v>
      </c>
      <c r="F43" s="4">
        <v>37.043567657470703</v>
      </c>
      <c r="G43" s="4">
        <v>15.68787813186646</v>
      </c>
      <c r="H43" s="4">
        <v>13.34999465942383</v>
      </c>
      <c r="I43" s="4">
        <v>2.4212960251515341</v>
      </c>
      <c r="J43" s="4">
        <v>-4.5902610588407464</v>
      </c>
      <c r="K43" s="4">
        <v>1.3982169057215279</v>
      </c>
      <c r="L43" s="7">
        <v>20</v>
      </c>
      <c r="M43" s="7">
        <v>19</v>
      </c>
      <c r="N43" s="8">
        <v>0.93481694333316767</v>
      </c>
      <c r="O43" s="4"/>
      <c r="P43" s="7"/>
      <c r="Q43" s="8"/>
      <c r="R43" s="6" t="b">
        <v>1</v>
      </c>
    </row>
    <row r="44" spans="1:18" ht="20" customHeight="1">
      <c r="A44" s="3" t="s">
        <v>190</v>
      </c>
      <c r="B44" s="1" t="s">
        <v>191</v>
      </c>
      <c r="C44" s="3" t="s">
        <v>192</v>
      </c>
      <c r="D44" s="4">
        <v>3.1752721400239952</v>
      </c>
      <c r="E44" s="4">
        <v>0.31493363589063678</v>
      </c>
      <c r="F44" s="4">
        <v>27.244891166687012</v>
      </c>
      <c r="G44" s="4">
        <v>15.21861791610718</v>
      </c>
      <c r="H44" s="4">
        <v>14.60830450057983</v>
      </c>
      <c r="I44" s="4">
        <v>-3.4619160974707039</v>
      </c>
      <c r="J44" s="4">
        <v>-3.6975559053972722</v>
      </c>
      <c r="K44" s="4">
        <v>1.857108292055113</v>
      </c>
      <c r="L44" s="7">
        <v>88</v>
      </c>
      <c r="M44" s="7">
        <v>76</v>
      </c>
      <c r="N44" s="8">
        <v>3.240403577821636</v>
      </c>
      <c r="O44" s="4"/>
      <c r="P44" s="7"/>
      <c r="Q44" s="8"/>
      <c r="R44" s="6" t="b">
        <v>1</v>
      </c>
    </row>
    <row r="45" spans="1:18" ht="20" customHeight="1">
      <c r="A45" s="3" t="s">
        <v>193</v>
      </c>
      <c r="B45" s="1" t="s">
        <v>191</v>
      </c>
      <c r="C45" s="3" t="s">
        <v>192</v>
      </c>
      <c r="D45" s="4">
        <v>3.444025533210048</v>
      </c>
      <c r="E45" s="4">
        <v>0.29035789379526961</v>
      </c>
      <c r="F45" s="4">
        <v>27.97867488861084</v>
      </c>
      <c r="G45" s="4">
        <v>15.26332521438599</v>
      </c>
      <c r="H45" s="4">
        <v>15.146884918212891</v>
      </c>
      <c r="I45" s="4">
        <v>-3.945825947507462</v>
      </c>
      <c r="J45" s="4">
        <v>5.1172052960235659</v>
      </c>
      <c r="K45" s="4">
        <v>0.29479041187805138</v>
      </c>
      <c r="L45" s="7">
        <v>113</v>
      </c>
      <c r="M45" s="7">
        <v>97</v>
      </c>
      <c r="N45" s="8">
        <v>4.0633508517332553</v>
      </c>
      <c r="O45" s="4">
        <v>3.3726120618440318</v>
      </c>
      <c r="P45" s="7">
        <v>88</v>
      </c>
      <c r="Q45" s="8">
        <v>3.078473430281802</v>
      </c>
      <c r="R45" s="6" t="b">
        <v>1</v>
      </c>
    </row>
    <row r="46" spans="1:18" ht="20" customHeight="1">
      <c r="A46" s="3" t="s">
        <v>194</v>
      </c>
      <c r="B46" s="1" t="s">
        <v>191</v>
      </c>
      <c r="C46" s="3" t="s">
        <v>195</v>
      </c>
      <c r="D46" s="4">
        <v>3.2049619066034869</v>
      </c>
      <c r="E46" s="4">
        <v>0.31201618900355887</v>
      </c>
      <c r="F46" s="4">
        <v>29.2781867980957</v>
      </c>
      <c r="G46" s="4">
        <v>17.268437385559078</v>
      </c>
      <c r="H46" s="4">
        <v>15.36229848861694</v>
      </c>
      <c r="I46" s="4">
        <v>2.565909293877559E-2</v>
      </c>
      <c r="J46" s="4">
        <v>4.6748910775572146</v>
      </c>
      <c r="K46" s="4">
        <v>0.29634914774243692</v>
      </c>
      <c r="L46" s="7">
        <v>147</v>
      </c>
      <c r="M46" s="7">
        <v>132</v>
      </c>
      <c r="N46" s="8">
        <v>6.1985865708085299</v>
      </c>
      <c r="O46" s="4">
        <v>3.46753445756775</v>
      </c>
      <c r="P46" s="7">
        <v>147</v>
      </c>
      <c r="Q46" s="8">
        <v>6.9116931277508629</v>
      </c>
      <c r="R46" s="6" t="b">
        <v>1</v>
      </c>
    </row>
    <row r="47" spans="1:18" ht="20" customHeight="1">
      <c r="A47" s="3" t="s">
        <v>196</v>
      </c>
      <c r="B47" s="1" t="s">
        <v>191</v>
      </c>
      <c r="C47" s="3" t="s">
        <v>195</v>
      </c>
      <c r="D47" s="4">
        <v>4.6283494618297381</v>
      </c>
      <c r="E47" s="4">
        <v>0.2160597440290663</v>
      </c>
      <c r="F47" s="4">
        <v>29.186835289001461</v>
      </c>
      <c r="G47" s="4">
        <v>16.834084987640381</v>
      </c>
      <c r="H47" s="4">
        <v>14.75949335098267</v>
      </c>
      <c r="I47" s="4">
        <v>0.48569075922256538</v>
      </c>
      <c r="J47" s="4">
        <v>4.5952832916801363</v>
      </c>
      <c r="K47" s="4">
        <v>4.1283463223113044</v>
      </c>
      <c r="L47" s="7">
        <v>130</v>
      </c>
      <c r="M47" s="7">
        <v>116</v>
      </c>
      <c r="N47" s="8">
        <v>7.2930574520758356</v>
      </c>
      <c r="O47" s="4">
        <v>3.5158357646321621</v>
      </c>
      <c r="P47" s="7">
        <v>102</v>
      </c>
      <c r="Q47" s="8">
        <v>2.8365906797617679</v>
      </c>
      <c r="R47" s="6" t="b">
        <v>1</v>
      </c>
    </row>
    <row r="48" spans="1:18" ht="20" customHeight="1">
      <c r="A48" s="3" t="s">
        <v>197</v>
      </c>
      <c r="B48" s="1" t="s">
        <v>191</v>
      </c>
      <c r="C48" s="3" t="s">
        <v>198</v>
      </c>
      <c r="D48" s="4">
        <v>3.4444817634539899</v>
      </c>
      <c r="E48" s="4">
        <v>0.29031943516438868</v>
      </c>
      <c r="F48" s="4">
        <v>29.751917839050289</v>
      </c>
      <c r="G48" s="4">
        <v>16.84795093536377</v>
      </c>
      <c r="H48" s="4">
        <v>14.281174182891849</v>
      </c>
      <c r="I48" s="4">
        <v>1.4322735541553491</v>
      </c>
      <c r="J48" s="4">
        <v>8.9075754044799904</v>
      </c>
      <c r="K48" s="4">
        <v>1.9935834793569049</v>
      </c>
      <c r="L48" s="7">
        <v>94</v>
      </c>
      <c r="M48" s="7">
        <v>77</v>
      </c>
      <c r="N48" s="8">
        <v>2.5376786338831918</v>
      </c>
      <c r="O48" s="4"/>
      <c r="P48" s="7"/>
      <c r="Q48" s="8"/>
      <c r="R48" s="6" t="b">
        <v>1</v>
      </c>
    </row>
    <row r="49" spans="1:18" ht="20" customHeight="1">
      <c r="A49" s="3" t="s">
        <v>199</v>
      </c>
      <c r="B49" s="1" t="s">
        <v>191</v>
      </c>
      <c r="C49" s="3" t="s">
        <v>198</v>
      </c>
      <c r="D49" s="4">
        <v>2.7784336075178522</v>
      </c>
      <c r="E49" s="4">
        <v>0.35991502452828539</v>
      </c>
      <c r="F49" s="4">
        <v>29.695090293884281</v>
      </c>
      <c r="G49" s="4">
        <v>17.536056041717529</v>
      </c>
      <c r="H49" s="4">
        <v>15.33406496047974</v>
      </c>
      <c r="I49" s="4">
        <v>-5.4100349295968373</v>
      </c>
      <c r="J49" s="4">
        <v>3.2553748776331388</v>
      </c>
      <c r="K49" s="4">
        <v>2.2956610308341712</v>
      </c>
      <c r="L49" s="7">
        <v>128</v>
      </c>
      <c r="M49" s="7">
        <v>113</v>
      </c>
      <c r="N49" s="8">
        <v>4.1049761670908058</v>
      </c>
      <c r="O49" s="4">
        <v>3.0994913849563139</v>
      </c>
      <c r="P49" s="7">
        <v>166</v>
      </c>
      <c r="Q49" s="8">
        <v>8.2908588193030024</v>
      </c>
      <c r="R49" s="6" t="b">
        <v>1</v>
      </c>
    </row>
    <row r="50" spans="1:18" ht="20" customHeight="1">
      <c r="A50" s="3" t="s">
        <v>200</v>
      </c>
      <c r="B50" s="1" t="s">
        <v>191</v>
      </c>
      <c r="C50" s="3" t="s">
        <v>201</v>
      </c>
      <c r="D50" s="4">
        <v>4.4902728604866224</v>
      </c>
      <c r="E50" s="4">
        <v>0.22270361536372821</v>
      </c>
      <c r="F50" s="4">
        <v>36.593416213989258</v>
      </c>
      <c r="G50" s="4">
        <v>20.880013465881351</v>
      </c>
      <c r="H50" s="4">
        <v>19.650269031524662</v>
      </c>
      <c r="I50" s="4">
        <v>0.18609994828020199</v>
      </c>
      <c r="J50" s="4">
        <v>1.7127466881242499</v>
      </c>
      <c r="K50" s="4">
        <v>4.2530365603319584</v>
      </c>
      <c r="L50" s="7">
        <v>51</v>
      </c>
      <c r="M50" s="7">
        <v>42</v>
      </c>
      <c r="N50" s="8">
        <v>3.5941878008647539</v>
      </c>
      <c r="O50" s="4">
        <v>4.187848136636668</v>
      </c>
      <c r="P50" s="7">
        <v>29</v>
      </c>
      <c r="Q50" s="8">
        <v>3.2175589258635142</v>
      </c>
      <c r="R50" s="6" t="b">
        <v>1</v>
      </c>
    </row>
    <row r="51" spans="1:18" ht="20" customHeight="1">
      <c r="A51" s="3" t="s">
        <v>202</v>
      </c>
      <c r="B51" s="1" t="s">
        <v>191</v>
      </c>
      <c r="C51" s="3" t="s">
        <v>201</v>
      </c>
      <c r="D51" s="4">
        <v>4.7172649216162634</v>
      </c>
      <c r="E51" s="4">
        <v>0.2119872461301946</v>
      </c>
      <c r="F51" s="4">
        <v>36.571268081665039</v>
      </c>
      <c r="G51" s="4">
        <v>20.8926887512207</v>
      </c>
      <c r="H51" s="4">
        <v>19.733539581298832</v>
      </c>
      <c r="I51" s="4">
        <v>-3.5737686432308871</v>
      </c>
      <c r="J51" s="4">
        <v>-5.7663619867010647</v>
      </c>
      <c r="K51" s="4">
        <v>2.5262847543286702</v>
      </c>
      <c r="L51" s="7">
        <v>156</v>
      </c>
      <c r="M51" s="7">
        <v>138</v>
      </c>
      <c r="N51" s="8">
        <v>4.3833092918259284</v>
      </c>
      <c r="O51" s="4">
        <v>4.6693854415207161</v>
      </c>
      <c r="P51" s="7">
        <v>118</v>
      </c>
      <c r="Q51" s="8">
        <v>4.5372921131967807</v>
      </c>
      <c r="R51" s="6" t="b">
        <v>1</v>
      </c>
    </row>
    <row r="52" spans="1:18" ht="20" customHeight="1">
      <c r="A52" s="3" t="s">
        <v>203</v>
      </c>
      <c r="B52" s="1" t="s">
        <v>191</v>
      </c>
      <c r="C52" s="3" t="s">
        <v>204</v>
      </c>
      <c r="D52" s="4">
        <v>3.4799592284263219</v>
      </c>
      <c r="E52" s="4">
        <v>0.28735968853641192</v>
      </c>
      <c r="F52" s="4">
        <v>28.161175727844238</v>
      </c>
      <c r="G52" s="4">
        <v>16.888051986694339</v>
      </c>
      <c r="H52" s="4">
        <v>16.209025382995609</v>
      </c>
      <c r="I52" s="4">
        <v>-4.0657962413679449</v>
      </c>
      <c r="J52" s="4">
        <v>-4.4920415634133697</v>
      </c>
      <c r="K52" s="4">
        <v>1.1443270948427411</v>
      </c>
      <c r="L52" s="7">
        <v>116</v>
      </c>
      <c r="M52" s="7">
        <v>98</v>
      </c>
      <c r="N52" s="8">
        <v>4.3814835173678857</v>
      </c>
      <c r="O52" s="4">
        <v>3.5853236375228601</v>
      </c>
      <c r="P52" s="7">
        <v>99</v>
      </c>
      <c r="Q52" s="8">
        <v>4.2604469879053024</v>
      </c>
      <c r="R52" s="6" t="b">
        <v>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"/>
  <sheetViews>
    <sheetView workbookViewId="0">
      <pane xSplit="1" ySplit="1" topLeftCell="K2" activePane="bottomRight" state="frozen"/>
      <selection pane="topRight"/>
      <selection pane="bottomLeft"/>
      <selection pane="bottomRight" activeCell="M13" sqref="M13"/>
    </sheetView>
  </sheetViews>
  <sheetFormatPr baseColWidth="10" defaultColWidth="8.83203125" defaultRowHeight="14"/>
  <cols>
    <col min="1" max="1" width="45" customWidth="1"/>
    <col min="2" max="2" width="22" customWidth="1"/>
    <col min="3" max="3" width="32" customWidth="1"/>
    <col min="4" max="4" width="23" customWidth="1"/>
    <col min="5" max="5" width="20" customWidth="1"/>
    <col min="6" max="6" width="26" customWidth="1"/>
    <col min="7" max="7" width="19" customWidth="1"/>
    <col min="8" max="10" width="21" customWidth="1"/>
    <col min="11" max="13" width="26" customWidth="1"/>
    <col min="14" max="14" width="16" customWidth="1"/>
    <col min="15" max="16" width="25" customWidth="1"/>
  </cols>
  <sheetData>
    <row r="1" spans="1:16" ht="34" customHeight="1">
      <c r="A1" s="2" t="s">
        <v>0</v>
      </c>
      <c r="B1" s="2" t="s">
        <v>117</v>
      </c>
      <c r="C1" s="2" t="s">
        <v>118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126</v>
      </c>
      <c r="O1" s="2" t="s">
        <v>127</v>
      </c>
      <c r="P1" s="2" t="s">
        <v>128</v>
      </c>
    </row>
    <row r="2" spans="1:16" ht="20" customHeight="1">
      <c r="A2" s="3" t="s">
        <v>205</v>
      </c>
      <c r="B2" s="1" t="s">
        <v>206</v>
      </c>
      <c r="C2" s="3" t="s">
        <v>207</v>
      </c>
      <c r="D2" s="4"/>
      <c r="E2" s="4"/>
      <c r="F2" s="5"/>
      <c r="G2" s="5"/>
      <c r="H2" s="4">
        <v>28.942147553046645</v>
      </c>
      <c r="I2" s="4">
        <v>14.090034107395692</v>
      </c>
      <c r="J2" s="4">
        <v>14.930267714146463</v>
      </c>
      <c r="K2" s="4"/>
      <c r="L2" s="4"/>
      <c r="M2" s="4"/>
      <c r="N2" s="6" t="b">
        <v>1</v>
      </c>
      <c r="O2" s="7">
        <v>3</v>
      </c>
      <c r="P2" s="7">
        <v>2</v>
      </c>
    </row>
    <row r="3" spans="1:16" ht="20" customHeight="1">
      <c r="A3" s="3" t="s">
        <v>208</v>
      </c>
      <c r="B3" s="1" t="s">
        <v>206</v>
      </c>
      <c r="C3" s="3" t="s">
        <v>209</v>
      </c>
      <c r="D3" s="4"/>
      <c r="E3" s="4"/>
      <c r="F3" s="5"/>
      <c r="G3" s="5"/>
      <c r="H3" s="4">
        <v>28.819137287175021</v>
      </c>
      <c r="I3" s="4">
        <v>14.735478628480262</v>
      </c>
      <c r="J3" s="4">
        <v>15.64310965977333</v>
      </c>
      <c r="K3" s="4"/>
      <c r="L3" s="4"/>
      <c r="M3" s="4"/>
      <c r="N3" s="6" t="b">
        <v>1</v>
      </c>
      <c r="O3" s="7">
        <v>2</v>
      </c>
      <c r="P3" s="7">
        <v>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"/>
  <sheetViews>
    <sheetView workbookViewId="0">
      <pane xSplit="1" ySplit="1" topLeftCell="B2" activePane="bottomRight" state="frozen"/>
      <selection pane="topRight"/>
      <selection pane="bottomLeft"/>
      <selection pane="bottomRight" activeCell="AE9" sqref="AE9:AE10"/>
    </sheetView>
  </sheetViews>
  <sheetFormatPr baseColWidth="10" defaultColWidth="8.83203125" defaultRowHeight="14"/>
  <cols>
    <col min="1" max="1" width="64" customWidth="1"/>
    <col min="2" max="2" width="22" customWidth="1"/>
    <col min="3" max="3" width="32" customWidth="1"/>
    <col min="4" max="4" width="23" customWidth="1"/>
    <col min="5" max="5" width="20" customWidth="1"/>
    <col min="6" max="6" width="26" customWidth="1"/>
    <col min="7" max="7" width="19" customWidth="1"/>
    <col min="8" max="10" width="21" customWidth="1"/>
    <col min="11" max="13" width="26" customWidth="1"/>
    <col min="14" max="14" width="20" customWidth="1"/>
    <col min="15" max="15" width="21" customWidth="1"/>
    <col min="16" max="16" width="22" customWidth="1"/>
    <col min="17" max="17" width="35" customWidth="1"/>
  </cols>
  <sheetData>
    <row r="1" spans="1:17" ht="34" customHeight="1">
      <c r="A1" s="2" t="s">
        <v>0</v>
      </c>
      <c r="B1" s="2" t="s">
        <v>117</v>
      </c>
      <c r="C1" s="2" t="s">
        <v>118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119</v>
      </c>
      <c r="O1" s="2" t="s">
        <v>120</v>
      </c>
      <c r="P1" s="2" t="s">
        <v>121</v>
      </c>
      <c r="Q1" s="2" t="s">
        <v>122</v>
      </c>
    </row>
    <row r="2" spans="1:17" ht="32" customHeight="1">
      <c r="A2" s="3" t="s">
        <v>210</v>
      </c>
      <c r="B2" s="1" t="s">
        <v>211</v>
      </c>
      <c r="C2" s="3" t="s">
        <v>212</v>
      </c>
      <c r="D2" s="4"/>
      <c r="E2" s="4"/>
      <c r="F2" s="5"/>
      <c r="G2" s="5"/>
      <c r="H2" s="4"/>
      <c r="I2" s="4"/>
      <c r="J2" s="4"/>
      <c r="K2" s="4"/>
      <c r="L2" s="4"/>
      <c r="M2" s="4"/>
      <c r="N2" s="7"/>
      <c r="O2" s="7"/>
      <c r="P2" s="8"/>
      <c r="Q2" s="8"/>
    </row>
    <row r="3" spans="1:17" ht="32" customHeight="1">
      <c r="A3" s="3" t="s">
        <v>213</v>
      </c>
      <c r="B3" s="1" t="s">
        <v>211</v>
      </c>
      <c r="C3" s="3" t="s">
        <v>212</v>
      </c>
      <c r="D3" s="4"/>
      <c r="E3" s="4"/>
      <c r="F3" s="5"/>
      <c r="G3" s="5"/>
      <c r="H3" s="4"/>
      <c r="I3" s="4"/>
      <c r="J3" s="4"/>
      <c r="K3" s="4"/>
      <c r="L3" s="4"/>
      <c r="M3" s="4"/>
      <c r="N3" s="7"/>
      <c r="O3" s="7"/>
      <c r="P3" s="8"/>
      <c r="Q3" s="8"/>
    </row>
    <row r="4" spans="1:17" ht="32" customHeight="1">
      <c r="A4" s="3" t="s">
        <v>214</v>
      </c>
      <c r="B4" s="1" t="s">
        <v>211</v>
      </c>
      <c r="C4" s="3" t="s">
        <v>212</v>
      </c>
      <c r="D4" s="4"/>
      <c r="E4" s="4"/>
      <c r="F4" s="5"/>
      <c r="G4" s="5"/>
      <c r="H4" s="4"/>
      <c r="I4" s="4"/>
      <c r="J4" s="4"/>
      <c r="K4" s="4"/>
      <c r="L4" s="4"/>
      <c r="M4" s="4"/>
      <c r="N4" s="7"/>
      <c r="O4" s="7"/>
      <c r="P4" s="8"/>
      <c r="Q4" s="8"/>
    </row>
    <row r="5" spans="1:17" ht="32" customHeight="1">
      <c r="A5" s="3" t="s">
        <v>215</v>
      </c>
      <c r="B5" s="1" t="s">
        <v>211</v>
      </c>
      <c r="C5" s="3" t="s">
        <v>212</v>
      </c>
      <c r="D5" s="4"/>
      <c r="E5" s="4"/>
      <c r="F5" s="5"/>
      <c r="G5" s="5"/>
      <c r="H5" s="4"/>
      <c r="I5" s="4"/>
      <c r="J5" s="4"/>
      <c r="K5" s="4"/>
      <c r="L5" s="4"/>
      <c r="M5" s="4"/>
      <c r="N5" s="7"/>
      <c r="O5" s="7"/>
      <c r="P5" s="8"/>
      <c r="Q5" s="8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DF</vt:lpstr>
      <vt:lpstr>HC</vt:lpstr>
      <vt:lpstr>Per</vt:lpstr>
      <vt:lpstr>Human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LAU, Kai Kwan</cp:lastModifiedBy>
  <dcterms:modified xsi:type="dcterms:W3CDTF">2026-09-30T08:31:09Z</dcterms:modified>
</cp:coreProperties>
</file>